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4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6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7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8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9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Shared drives\O&amp;M\NCC Automations\In Progress\Performance Analysis - Python\Brandon\Python Switch\Also Energy Sites\"/>
    </mc:Choice>
  </mc:AlternateContent>
  <xr:revisionPtr revIDLastSave="0" documentId="8_{D3DDC238-52F4-4BC3-8CD2-46CA1BBB401F}" xr6:coauthVersionLast="47" xr6:coauthVersionMax="47" xr10:uidLastSave="{00000000-0000-0000-0000-000000000000}"/>
  <bookViews>
    <workbookView xWindow="390" yWindow="390" windowWidth="21600" windowHeight="11295" activeTab="3" xr2:uid="{CEC066E9-3995-43BC-99AF-1C523130C222}"/>
  </bookViews>
  <sheets>
    <sheet name="Bluebird" sheetId="8" r:id="rId1"/>
    <sheet name="Cardinal" sheetId="1" r:id="rId2"/>
    <sheet name="Cherry" sheetId="7" r:id="rId3"/>
    <sheet name="Cougar" sheetId="9" r:id="rId4"/>
    <sheet name="Harrison" sheetId="6" r:id="rId5"/>
    <sheet name="Hayes" sheetId="5" r:id="rId6"/>
    <sheet name="Hickory" sheetId="4" r:id="rId7"/>
    <sheet name="Violet" sheetId="3" r:id="rId8"/>
    <sheet name="Wellons" sheetId="2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1" i="9" l="1"/>
  <c r="F30" i="9"/>
  <c r="F29" i="9"/>
  <c r="F28" i="9"/>
  <c r="K32" i="9"/>
  <c r="E32" i="9"/>
  <c r="C32" i="9"/>
  <c r="B32" i="9"/>
  <c r="N31" i="9"/>
  <c r="M31" i="9"/>
  <c r="J31" i="9"/>
  <c r="I31" i="9"/>
  <c r="O31" i="9" s="1"/>
  <c r="H31" i="9"/>
  <c r="G31" i="9"/>
  <c r="D31" i="9"/>
  <c r="M30" i="9"/>
  <c r="J30" i="9"/>
  <c r="I30" i="9"/>
  <c r="O30" i="9" s="1"/>
  <c r="H30" i="9"/>
  <c r="G30" i="9"/>
  <c r="D30" i="9"/>
  <c r="N29" i="9"/>
  <c r="M29" i="9"/>
  <c r="J29" i="9"/>
  <c r="I29" i="9"/>
  <c r="O29" i="9" s="1"/>
  <c r="H29" i="9"/>
  <c r="G29" i="9"/>
  <c r="D29" i="9"/>
  <c r="M28" i="9"/>
  <c r="J28" i="9"/>
  <c r="J32" i="9" s="1"/>
  <c r="I28" i="9"/>
  <c r="O28" i="9" s="1"/>
  <c r="H28" i="9"/>
  <c r="H32" i="9" s="1"/>
  <c r="G28" i="9"/>
  <c r="D28" i="9"/>
  <c r="N26" i="9"/>
  <c r="D24" i="9"/>
  <c r="D24" i="9" a="1"/>
  <c r="A24" i="9"/>
  <c r="A24" i="9" a="1"/>
  <c r="F4" i="9"/>
  <c r="F31" i="2"/>
  <c r="F30" i="2"/>
  <c r="F29" i="2"/>
  <c r="F28" i="2"/>
  <c r="F29" i="3"/>
  <c r="F31" i="3"/>
  <c r="F30" i="3"/>
  <c r="F28" i="3"/>
  <c r="F31" i="4"/>
  <c r="F30" i="4"/>
  <c r="F29" i="4"/>
  <c r="F28" i="4"/>
  <c r="F31" i="5"/>
  <c r="F30" i="5"/>
  <c r="F29" i="5"/>
  <c r="F28" i="5"/>
  <c r="F31" i="6"/>
  <c r="F30" i="6"/>
  <c r="F32" i="6" s="1"/>
  <c r="F29" i="6"/>
  <c r="F28" i="6"/>
  <c r="F31" i="7"/>
  <c r="F30" i="7"/>
  <c r="F29" i="7"/>
  <c r="F28" i="7"/>
  <c r="F31" i="8"/>
  <c r="F30" i="8"/>
  <c r="F29" i="8"/>
  <c r="F28" i="8"/>
  <c r="K32" i="8"/>
  <c r="E32" i="8"/>
  <c r="C32" i="8"/>
  <c r="B32" i="8"/>
  <c r="M31" i="8"/>
  <c r="J31" i="8"/>
  <c r="I31" i="8"/>
  <c r="O31" i="8" s="1"/>
  <c r="H31" i="8"/>
  <c r="G31" i="8"/>
  <c r="D31" i="8"/>
  <c r="M30" i="8"/>
  <c r="J30" i="8"/>
  <c r="C24" i="8" s="1" a="1"/>
  <c r="C24" i="8" s="1"/>
  <c r="I30" i="8"/>
  <c r="N30" i="8" s="1"/>
  <c r="H30" i="8"/>
  <c r="G30" i="8"/>
  <c r="D30" i="8"/>
  <c r="O29" i="8"/>
  <c r="N29" i="8"/>
  <c r="M29" i="8"/>
  <c r="J29" i="8"/>
  <c r="I29" i="8"/>
  <c r="H29" i="8"/>
  <c r="A24" i="8" s="1" a="1"/>
  <c r="A24" i="8" s="1"/>
  <c r="G29" i="8"/>
  <c r="F32" i="8"/>
  <c r="D29" i="8"/>
  <c r="D32" i="8" s="1"/>
  <c r="M28" i="8"/>
  <c r="J28" i="8"/>
  <c r="I28" i="8"/>
  <c r="H28" i="8"/>
  <c r="G28" i="8"/>
  <c r="D28" i="8"/>
  <c r="N26" i="8"/>
  <c r="D24" i="8"/>
  <c r="D24" i="8" a="1"/>
  <c r="F4" i="8"/>
  <c r="K32" i="7"/>
  <c r="E32" i="7"/>
  <c r="C32" i="7"/>
  <c r="B32" i="7"/>
  <c r="O31" i="7"/>
  <c r="N31" i="7"/>
  <c r="M31" i="7"/>
  <c r="J31" i="7"/>
  <c r="I31" i="7"/>
  <c r="H31" i="7"/>
  <c r="G31" i="7"/>
  <c r="D31" i="7"/>
  <c r="M30" i="7"/>
  <c r="J30" i="7"/>
  <c r="I30" i="7"/>
  <c r="O30" i="7" s="1"/>
  <c r="H30" i="7"/>
  <c r="G30" i="7"/>
  <c r="D30" i="7"/>
  <c r="O29" i="7"/>
  <c r="N29" i="7"/>
  <c r="M29" i="7"/>
  <c r="J29" i="7"/>
  <c r="I29" i="7"/>
  <c r="H29" i="7"/>
  <c r="G29" i="7"/>
  <c r="D29" i="7"/>
  <c r="D32" i="7" s="1"/>
  <c r="M28" i="7"/>
  <c r="J28" i="7"/>
  <c r="I28" i="7"/>
  <c r="O28" i="7" s="1"/>
  <c r="H28" i="7"/>
  <c r="H32" i="7" s="1"/>
  <c r="G28" i="7"/>
  <c r="D28" i="7"/>
  <c r="N26" i="7"/>
  <c r="D24" i="7"/>
  <c r="D24" i="7" a="1"/>
  <c r="A24" i="7"/>
  <c r="A24" i="7" a="1"/>
  <c r="F4" i="7"/>
  <c r="K32" i="6"/>
  <c r="E32" i="6"/>
  <c r="C32" i="6"/>
  <c r="B32" i="6"/>
  <c r="N31" i="6"/>
  <c r="M31" i="6"/>
  <c r="J31" i="6"/>
  <c r="I31" i="6"/>
  <c r="O31" i="6" s="1"/>
  <c r="H31" i="6"/>
  <c r="G31" i="6"/>
  <c r="D31" i="6"/>
  <c r="M30" i="6"/>
  <c r="J30" i="6"/>
  <c r="I30" i="6"/>
  <c r="O30" i="6" s="1"/>
  <c r="H30" i="6"/>
  <c r="G30" i="6"/>
  <c r="D30" i="6"/>
  <c r="D32" i="6" s="1"/>
  <c r="O29" i="6"/>
  <c r="N29" i="6"/>
  <c r="M29" i="6"/>
  <c r="J29" i="6"/>
  <c r="I29" i="6"/>
  <c r="H29" i="6"/>
  <c r="A24" i="6" s="1" a="1"/>
  <c r="A24" i="6" s="1"/>
  <c r="G29" i="6"/>
  <c r="D29" i="6"/>
  <c r="M28" i="6"/>
  <c r="J28" i="6"/>
  <c r="J32" i="6" s="1"/>
  <c r="I28" i="6"/>
  <c r="O28" i="6" s="1"/>
  <c r="H28" i="6"/>
  <c r="G28" i="6"/>
  <c r="D28" i="6"/>
  <c r="N26" i="6"/>
  <c r="D24" i="6"/>
  <c r="D24" i="6" a="1"/>
  <c r="F4" i="6"/>
  <c r="K32" i="5"/>
  <c r="E32" i="5"/>
  <c r="C32" i="5"/>
  <c r="B32" i="5"/>
  <c r="O31" i="5"/>
  <c r="N31" i="5"/>
  <c r="M31" i="5"/>
  <c r="J31" i="5"/>
  <c r="I31" i="5"/>
  <c r="H31" i="5"/>
  <c r="G31" i="5"/>
  <c r="D31" i="5"/>
  <c r="M30" i="5"/>
  <c r="J30" i="5"/>
  <c r="I30" i="5"/>
  <c r="O30" i="5" s="1"/>
  <c r="H30" i="5"/>
  <c r="G30" i="5"/>
  <c r="D30" i="5"/>
  <c r="O29" i="5"/>
  <c r="N29" i="5"/>
  <c r="M29" i="5"/>
  <c r="J29" i="5"/>
  <c r="I29" i="5"/>
  <c r="H29" i="5"/>
  <c r="A24" i="5" s="1" a="1"/>
  <c r="A24" i="5" s="1"/>
  <c r="G29" i="5"/>
  <c r="D29" i="5"/>
  <c r="D32" i="5" s="1"/>
  <c r="M28" i="5"/>
  <c r="J28" i="5"/>
  <c r="I28" i="5"/>
  <c r="O28" i="5" s="1"/>
  <c r="H28" i="5"/>
  <c r="G28" i="5"/>
  <c r="D28" i="5"/>
  <c r="N26" i="5"/>
  <c r="D24" i="5"/>
  <c r="D24" i="5" a="1"/>
  <c r="F4" i="5"/>
  <c r="K32" i="4"/>
  <c r="E32" i="4"/>
  <c r="C32" i="4"/>
  <c r="B32" i="4"/>
  <c r="O31" i="4"/>
  <c r="N31" i="4"/>
  <c r="M31" i="4"/>
  <c r="J31" i="4"/>
  <c r="I31" i="4"/>
  <c r="H31" i="4"/>
  <c r="G31" i="4"/>
  <c r="D31" i="4"/>
  <c r="M30" i="4"/>
  <c r="J30" i="4"/>
  <c r="I30" i="4"/>
  <c r="O30" i="4" s="1"/>
  <c r="H30" i="4"/>
  <c r="G30" i="4"/>
  <c r="D30" i="4"/>
  <c r="O29" i="4"/>
  <c r="N29" i="4"/>
  <c r="M29" i="4"/>
  <c r="J29" i="4"/>
  <c r="I29" i="4"/>
  <c r="H29" i="4"/>
  <c r="G29" i="4"/>
  <c r="D29" i="4"/>
  <c r="M28" i="4"/>
  <c r="J28" i="4"/>
  <c r="I28" i="4"/>
  <c r="I32" i="4" s="1"/>
  <c r="H28" i="4"/>
  <c r="H32" i="4" s="1"/>
  <c r="G28" i="4"/>
  <c r="D28" i="4"/>
  <c r="N26" i="4"/>
  <c r="D24" i="4"/>
  <c r="D24" i="4" a="1"/>
  <c r="A24" i="4"/>
  <c r="A24" i="4" a="1"/>
  <c r="F4" i="4"/>
  <c r="K32" i="3"/>
  <c r="E32" i="3"/>
  <c r="C32" i="3"/>
  <c r="B32" i="3"/>
  <c r="M31" i="3"/>
  <c r="J31" i="3"/>
  <c r="I31" i="3"/>
  <c r="O31" i="3" s="1"/>
  <c r="H31" i="3"/>
  <c r="G31" i="3"/>
  <c r="D31" i="3"/>
  <c r="D32" i="3" s="1"/>
  <c r="M30" i="3"/>
  <c r="J30" i="3"/>
  <c r="C24" i="3" s="1" a="1"/>
  <c r="C24" i="3" s="1"/>
  <c r="I30" i="3"/>
  <c r="N30" i="3" s="1"/>
  <c r="H30" i="3"/>
  <c r="G30" i="3"/>
  <c r="D30" i="3"/>
  <c r="O29" i="3"/>
  <c r="N29" i="3"/>
  <c r="M29" i="3"/>
  <c r="J29" i="3"/>
  <c r="I29" i="3"/>
  <c r="H29" i="3"/>
  <c r="G29" i="3"/>
  <c r="F32" i="3"/>
  <c r="D29" i="3"/>
  <c r="M28" i="3"/>
  <c r="J28" i="3"/>
  <c r="I28" i="3"/>
  <c r="N28" i="3" s="1"/>
  <c r="H28" i="3"/>
  <c r="H32" i="3" s="1"/>
  <c r="G28" i="3"/>
  <c r="D28" i="3"/>
  <c r="N26" i="3"/>
  <c r="D24" i="3"/>
  <c r="D24" i="3" a="1"/>
  <c r="A24" i="3"/>
  <c r="A24" i="3" a="1"/>
  <c r="F4" i="3"/>
  <c r="K32" i="2"/>
  <c r="E32" i="2"/>
  <c r="C32" i="2"/>
  <c r="B32" i="2"/>
  <c r="M31" i="2"/>
  <c r="J31" i="2"/>
  <c r="I31" i="2"/>
  <c r="N31" i="2" s="1"/>
  <c r="H31" i="2"/>
  <c r="G31" i="2"/>
  <c r="D31" i="2"/>
  <c r="O30" i="2"/>
  <c r="M30" i="2"/>
  <c r="J30" i="2"/>
  <c r="I30" i="2"/>
  <c r="N30" i="2" s="1"/>
  <c r="H30" i="2"/>
  <c r="G30" i="2"/>
  <c r="D30" i="2"/>
  <c r="M29" i="2"/>
  <c r="J29" i="2"/>
  <c r="I29" i="2"/>
  <c r="N29" i="2" s="1"/>
  <c r="H29" i="2"/>
  <c r="G29" i="2"/>
  <c r="D29" i="2"/>
  <c r="D32" i="2" s="1"/>
  <c r="O28" i="2"/>
  <c r="N28" i="2"/>
  <c r="M28" i="2"/>
  <c r="J28" i="2"/>
  <c r="C24" i="2" s="1" a="1"/>
  <c r="C24" i="2" s="1"/>
  <c r="I28" i="2"/>
  <c r="B24" i="2" s="1" a="1"/>
  <c r="B24" i="2" s="1"/>
  <c r="H28" i="2"/>
  <c r="H32" i="2" s="1"/>
  <c r="G28" i="2"/>
  <c r="F32" i="2"/>
  <c r="D28" i="2"/>
  <c r="N26" i="2"/>
  <c r="D24" i="2"/>
  <c r="D24" i="2" a="1"/>
  <c r="A24" i="2"/>
  <c r="A24" i="2" a="1"/>
  <c r="F4" i="2"/>
  <c r="C24" i="1" a="1"/>
  <c r="C24" i="1" s="1"/>
  <c r="D24" i="1" a="1"/>
  <c r="D24" i="1"/>
  <c r="D29" i="1"/>
  <c r="D30" i="1"/>
  <c r="D31" i="1"/>
  <c r="D28" i="1"/>
  <c r="J29" i="1"/>
  <c r="J30" i="1"/>
  <c r="J31" i="1"/>
  <c r="J28" i="1"/>
  <c r="H29" i="1"/>
  <c r="H30" i="1"/>
  <c r="H31" i="1"/>
  <c r="I29" i="1"/>
  <c r="I30" i="1"/>
  <c r="I31" i="1"/>
  <c r="I28" i="1"/>
  <c r="H28" i="1"/>
  <c r="G28" i="1"/>
  <c r="G29" i="1"/>
  <c r="G30" i="1"/>
  <c r="G31" i="1"/>
  <c r="F31" i="1"/>
  <c r="F30" i="1"/>
  <c r="F29" i="1"/>
  <c r="F28" i="1"/>
  <c r="F4" i="1"/>
  <c r="M31" i="1"/>
  <c r="M30" i="1"/>
  <c r="M29" i="1"/>
  <c r="M28" i="1"/>
  <c r="N26" i="1"/>
  <c r="D32" i="9" l="1"/>
  <c r="G32" i="9"/>
  <c r="F32" i="9"/>
  <c r="C24" i="9" a="1"/>
  <c r="C24" i="9" s="1"/>
  <c r="B24" i="9" a="1"/>
  <c r="B24" i="9" s="1"/>
  <c r="N28" i="9"/>
  <c r="N30" i="9"/>
  <c r="I32" i="9"/>
  <c r="G32" i="2"/>
  <c r="J32" i="2"/>
  <c r="G32" i="3"/>
  <c r="N31" i="3"/>
  <c r="J32" i="3"/>
  <c r="D32" i="4"/>
  <c r="J32" i="4"/>
  <c r="G32" i="4"/>
  <c r="F32" i="4"/>
  <c r="C24" i="4" a="1"/>
  <c r="C24" i="4" s="1"/>
  <c r="J32" i="5"/>
  <c r="G32" i="5"/>
  <c r="F32" i="5"/>
  <c r="G32" i="6"/>
  <c r="C24" i="6" a="1"/>
  <c r="C24" i="6" s="1"/>
  <c r="J32" i="7"/>
  <c r="G32" i="7"/>
  <c r="F32" i="7"/>
  <c r="C24" i="7" a="1"/>
  <c r="C24" i="7" s="1"/>
  <c r="N31" i="8"/>
  <c r="I32" i="8"/>
  <c r="G32" i="8"/>
  <c r="J32" i="8"/>
  <c r="N28" i="8"/>
  <c r="O28" i="8"/>
  <c r="O30" i="8"/>
  <c r="B24" i="8" a="1"/>
  <c r="B24" i="8" s="1"/>
  <c r="H32" i="8"/>
  <c r="B24" i="7" a="1"/>
  <c r="B24" i="7" s="1"/>
  <c r="N28" i="7"/>
  <c r="N30" i="7"/>
  <c r="I32" i="7"/>
  <c r="B24" i="6" a="1"/>
  <c r="B24" i="6" s="1"/>
  <c r="H32" i="6"/>
  <c r="N28" i="6"/>
  <c r="N30" i="6"/>
  <c r="I32" i="6"/>
  <c r="B24" i="5" a="1"/>
  <c r="B24" i="5" s="1"/>
  <c r="H32" i="5"/>
  <c r="C24" i="5" a="1"/>
  <c r="C24" i="5" s="1"/>
  <c r="N28" i="5"/>
  <c r="N30" i="5"/>
  <c r="I32" i="5"/>
  <c r="B24" i="4" a="1"/>
  <c r="B24" i="4" s="1"/>
  <c r="N28" i="4"/>
  <c r="N30" i="4"/>
  <c r="O28" i="4"/>
  <c r="B24" i="3" a="1"/>
  <c r="B24" i="3" s="1"/>
  <c r="I32" i="3"/>
  <c r="O28" i="3"/>
  <c r="O30" i="3"/>
  <c r="O29" i="2"/>
  <c r="O31" i="2"/>
  <c r="I32" i="2"/>
  <c r="B24" i="1" a="1"/>
  <c r="B24" i="1" s="1"/>
  <c r="A24" i="1" a="1"/>
  <c r="A24" i="1" s="1"/>
  <c r="C32" i="1"/>
  <c r="F32" i="1" l="1"/>
  <c r="H32" i="1"/>
  <c r="O29" i="1"/>
  <c r="N29" i="1"/>
  <c r="D32" i="1"/>
  <c r="B32" i="1"/>
  <c r="O28" i="1"/>
  <c r="I32" i="1"/>
  <c r="N28" i="1"/>
  <c r="K32" i="1"/>
  <c r="J32" i="1"/>
  <c r="G32" i="1"/>
  <c r="E32" i="1"/>
  <c r="O31" i="1"/>
  <c r="N31" i="1"/>
  <c r="N30" i="1"/>
  <c r="O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<sst xmlns="http://schemas.openxmlformats.org/spreadsheetml/2006/main" count="666" uniqueCount="77">
  <si>
    <t>Quarterly</t>
  </si>
  <si>
    <t>Site Information</t>
  </si>
  <si>
    <t>System Size (MWdc):</t>
  </si>
  <si>
    <t>System Size (MWac):</t>
  </si>
  <si>
    <t>Inverter Type (Count):</t>
  </si>
  <si>
    <t>Module Type (Count):</t>
  </si>
  <si>
    <t>Transformer Type (Count):</t>
  </si>
  <si>
    <t>Combiner Type (Count):</t>
  </si>
  <si>
    <t xml:space="preserve">Financial Performance </t>
  </si>
  <si>
    <t xml:space="preserve">Qtr </t>
  </si>
  <si>
    <t xml:space="preserve">Production (kWh) </t>
  </si>
  <si>
    <t xml:space="preserve">PPA Revenue </t>
  </si>
  <si>
    <t xml:space="preserve">REC Revenue </t>
  </si>
  <si>
    <t>Operating Expenses</t>
  </si>
  <si>
    <t xml:space="preserve">Operating Income </t>
  </si>
  <si>
    <t>Q1</t>
  </si>
  <si>
    <t>Q2</t>
  </si>
  <si>
    <t>Q3</t>
  </si>
  <si>
    <t>Q4</t>
  </si>
  <si>
    <t>Notes &amp; Observations:</t>
  </si>
  <si>
    <t>Performance Metrics</t>
  </si>
  <si>
    <t>Energy Index (%)</t>
  </si>
  <si>
    <t>Performance Index (%)</t>
  </si>
  <si>
    <t>Weather Index (%)</t>
  </si>
  <si>
    <t>Inverter Availability 
(%)</t>
  </si>
  <si>
    <t>Grid Availability</t>
  </si>
  <si>
    <t>O&amp;M Availability 
(%)</t>
  </si>
  <si>
    <t>Site Outage Frequency (Total)</t>
  </si>
  <si>
    <t>Average Site Outage Duration (hr)</t>
  </si>
  <si>
    <t>YTD Summary</t>
  </si>
  <si>
    <t>Qtr</t>
  </si>
  <si>
    <t>Meter Production 
(kWh)</t>
  </si>
  <si>
    <t>P50 Production (kWh)</t>
  </si>
  <si>
    <t>Weather Adjusted Production (kWh)</t>
  </si>
  <si>
    <t>Observed Insolation (Wh/m2)</t>
  </si>
  <si>
    <t>P50 Insolation (Wh/m2)</t>
  </si>
  <si>
    <t>Estimated Production Loss
 (kWh)</t>
  </si>
  <si>
    <t>YTD</t>
  </si>
  <si>
    <t>Completed Work Orders</t>
  </si>
  <si>
    <t>Work Order</t>
  </si>
  <si>
    <t>Device</t>
  </si>
  <si>
    <t>Start</t>
  </si>
  <si>
    <t>End</t>
  </si>
  <si>
    <t>Nature of Failure</t>
  </si>
  <si>
    <t>Problem Description</t>
  </si>
  <si>
    <t>How Repaired</t>
  </si>
  <si>
    <t>End of Reporting Record</t>
  </si>
  <si>
    <t>Open Work Orders</t>
  </si>
  <si>
    <t>Date Entered</t>
  </si>
  <si>
    <t>Scheduled Date</t>
  </si>
  <si>
    <t>Health, Safety, Security &amp; Environmental Events</t>
  </si>
  <si>
    <t>Type</t>
  </si>
  <si>
    <t>Date</t>
  </si>
  <si>
    <t>Status</t>
  </si>
  <si>
    <t>Incident Description</t>
  </si>
  <si>
    <t xml:space="preserve"> No Health, Environmental, or Security Events reported. </t>
  </si>
  <si>
    <t>.</t>
  </si>
  <si>
    <t>Site Name: Cardinal Solar</t>
  </si>
  <si>
    <t>Site Location: 3114 N. HWY 501, Marion SC 29571</t>
  </si>
  <si>
    <t>Utility: Duke Energy Progress</t>
  </si>
  <si>
    <t>Site Name: Bluebird Solar</t>
  </si>
  <si>
    <t>Site Location: 125 Frisco Drive, Pendleton, SC 29670</t>
  </si>
  <si>
    <t>Utility: Duke Energy Carolinas</t>
  </si>
  <si>
    <t>Site Name: Cherry Blossom Solar</t>
  </si>
  <si>
    <t>Site Location: 189 Lewis Road, Hemingway, SC 29554</t>
  </si>
  <si>
    <t>Site Name: Harrison Solar</t>
  </si>
  <si>
    <t>Site Location: 1454 Dunn Road, Roseboro, NC 28382</t>
  </si>
  <si>
    <t>Site Name: Hayes Solar</t>
  </si>
  <si>
    <t>Site Location: 718 W. Atkins St, Dobson, NC 27017</t>
  </si>
  <si>
    <t>Site Name: Hickory Solar</t>
  </si>
  <si>
    <t>Site Location: 4341 US Highway 117 South, Rose Hill, NC 28458</t>
  </si>
  <si>
    <t>Site Name: Violet Solar</t>
  </si>
  <si>
    <t>Site Location: 1150 B Street, Mt Pleasant, NC 28164</t>
  </si>
  <si>
    <t>Site Name: Wellons Solar</t>
  </si>
  <si>
    <t>Site Location: 88 Yelverton Grove Rd, Smithfield, NC 27577</t>
  </si>
  <si>
    <t>Site Name: Cougar Solar</t>
  </si>
  <si>
    <t>Site Location: W. Garden St, Sanford, NC 27330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</si>
</sst>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"/>
    <numFmt numFmtId="165" formatCode="0.0%"/>
    <numFmt numFmtId="166" formatCode="m/d/yy;@"/>
    <numFmt numFmtId="167" formatCode="m/d;@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1"/>
      <name val="Bahnschrift"/>
      <family val="2"/>
    </font>
    <font>
      <sz val="11"/>
      <name val="Aptos Narrow"/>
      <family val="2"/>
      <scheme val="minor"/>
    </font>
    <font>
      <b/>
      <sz val="9"/>
      <name val="Bahnschrift"/>
      <family val="2"/>
    </font>
    <font>
      <b/>
      <sz val="8"/>
      <name val="Bahnschrift"/>
      <family val="2"/>
    </font>
    <font>
      <b/>
      <sz val="7"/>
      <name val="Bahnschrift"/>
      <family val="2"/>
    </font>
    <font>
      <sz val="7"/>
      <name val="Bahnschrift"/>
      <family val="2"/>
    </font>
    <font>
      <b/>
      <sz val="6"/>
      <name val="Bahnschrift"/>
      <family val="2"/>
    </font>
    <font>
      <sz val="6"/>
      <name val="Bahnschrift"/>
      <family val="2"/>
    </font>
    <font>
      <sz val="9"/>
      <name val="Bahnschrift"/>
      <family val="2"/>
    </font>
    <font>
      <sz val="9"/>
      <name val="Aptos Narrow"/>
      <family val="2"/>
      <scheme val="minor"/>
    </font>
    <font>
      <sz val="9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Calibri"/>
      <family val="2"/>
    </font>
    <font>
      <sz val="7"/>
      <color theme="0"/>
      <name val="Bahnschrift"/>
      <family val="2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1">
    <xf numFmtId="0" fontId="0" fillId="0" borderId="0" xfId="0"/>
    <xf numFmtId="3" fontId="15" fillId="2" borderId="0" xfId="0" applyNumberFormat="1" applyFont="1" applyFill="1" applyAlignment="1">
      <alignment horizontal="center" vertical="center" wrapText="1" readingOrder="1"/>
    </xf>
    <xf numFmtId="0" fontId="3" fillId="2" borderId="0" xfId="0" applyFont="1" applyFill="1" applyAlignment="1">
      <alignment horizontal="center"/>
    </xf>
    <xf numFmtId="0" fontId="2" fillId="2" borderId="0" xfId="0" applyFont="1" applyFill="1"/>
    <xf numFmtId="0" fontId="3" fillId="2" borderId="0" xfId="0" applyFont="1" applyFill="1"/>
    <xf numFmtId="0" fontId="0" fillId="2" borderId="0" xfId="0" applyFill="1"/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4" fillId="2" borderId="0" xfId="0" applyFont="1" applyFill="1"/>
    <xf numFmtId="0" fontId="5" fillId="2" borderId="0" xfId="0" applyFont="1" applyFill="1"/>
    <xf numFmtId="0" fontId="4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top"/>
    </xf>
    <xf numFmtId="0" fontId="5" fillId="2" borderId="0" xfId="0" applyFont="1" applyFill="1" applyAlignment="1">
      <alignment vertical="top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horizontal="left"/>
    </xf>
    <xf numFmtId="0" fontId="7" fillId="2" borderId="1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right"/>
    </xf>
    <xf numFmtId="164" fontId="8" fillId="2" borderId="4" xfId="0" applyNumberFormat="1" applyFont="1" applyFill="1" applyBorder="1"/>
    <xf numFmtId="3" fontId="8" fillId="2" borderId="0" xfId="0" applyNumberFormat="1" applyFont="1" applyFill="1"/>
    <xf numFmtId="0" fontId="8" fillId="2" borderId="4" xfId="0" applyFont="1" applyFill="1" applyBorder="1"/>
    <xf numFmtId="0" fontId="8" fillId="2" borderId="0" xfId="0" applyFont="1" applyFill="1"/>
    <xf numFmtId="3" fontId="8" fillId="2" borderId="4" xfId="0" applyNumberFormat="1" applyFont="1" applyFill="1" applyBorder="1"/>
    <xf numFmtId="0" fontId="7" fillId="2" borderId="5" xfId="0" applyFont="1" applyFill="1" applyBorder="1" applyAlignment="1">
      <alignment horizontal="left"/>
    </xf>
    <xf numFmtId="0" fontId="4" fillId="2" borderId="5" xfId="0" applyFont="1" applyFill="1" applyBorder="1"/>
    <xf numFmtId="0" fontId="7" fillId="2" borderId="6" xfId="0" applyFont="1" applyFill="1" applyBorder="1" applyAlignment="1">
      <alignment horizontal="left"/>
    </xf>
    <xf numFmtId="0" fontId="4" fillId="2" borderId="6" xfId="0" applyFont="1" applyFill="1" applyBorder="1"/>
    <xf numFmtId="9" fontId="4" fillId="2" borderId="0" xfId="1" applyFont="1" applyFill="1"/>
    <xf numFmtId="9" fontId="4" fillId="2" borderId="0" xfId="0" applyNumberFormat="1" applyFont="1" applyFill="1"/>
    <xf numFmtId="0" fontId="9" fillId="2" borderId="4" xfId="0" applyFont="1" applyFill="1" applyBorder="1" applyAlignment="1">
      <alignment horizontal="center" vertical="center"/>
    </xf>
    <xf numFmtId="37" fontId="10" fillId="2" borderId="4" xfId="0" applyNumberFormat="1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left"/>
    </xf>
    <xf numFmtId="0" fontId="8" fillId="2" borderId="2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10" fontId="12" fillId="2" borderId="4" xfId="0" applyNumberFormat="1" applyFont="1" applyFill="1" applyBorder="1" applyAlignment="1">
      <alignment horizontal="center" vertical="center"/>
    </xf>
    <xf numFmtId="9" fontId="12" fillId="2" borderId="4" xfId="0" applyNumberFormat="1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3" fontId="10" fillId="2" borderId="4" xfId="0" applyNumberFormat="1" applyFont="1" applyFill="1" applyBorder="1" applyAlignment="1">
      <alignment horizontal="center" vertical="center"/>
    </xf>
    <xf numFmtId="37" fontId="10" fillId="2" borderId="4" xfId="1" applyNumberFormat="1" applyFont="1" applyFill="1" applyBorder="1" applyAlignment="1">
      <alignment horizontal="center" vertical="center"/>
    </xf>
    <xf numFmtId="10" fontId="10" fillId="2" borderId="4" xfId="0" applyNumberFormat="1" applyFont="1" applyFill="1" applyBorder="1" applyAlignment="1">
      <alignment horizontal="center" vertical="center"/>
    </xf>
    <xf numFmtId="9" fontId="10" fillId="2" borderId="4" xfId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166" fontId="10" fillId="2" borderId="4" xfId="0" applyNumberFormat="1" applyFont="1" applyFill="1" applyBorder="1" applyAlignment="1">
      <alignment horizontal="center" vertical="center"/>
    </xf>
    <xf numFmtId="3" fontId="10" fillId="2" borderId="4" xfId="0" applyNumberFormat="1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167" fontId="8" fillId="2" borderId="0" xfId="0" applyNumberFormat="1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3" fontId="8" fillId="2" borderId="0" xfId="0" applyNumberFormat="1" applyFont="1" applyFill="1" applyAlignment="1">
      <alignment horizontal="center" vertical="center" wrapText="1"/>
    </xf>
    <xf numFmtId="0" fontId="8" fillId="2" borderId="0" xfId="0" applyFont="1" applyFill="1" applyAlignment="1">
      <alignment horizontal="left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3" xfId="0" quotePrefix="1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17" fillId="2" borderId="0" xfId="0" applyFont="1" applyFill="1" applyAlignment="1">
      <alignment horizontal="center"/>
    </xf>
    <xf numFmtId="0" fontId="6" fillId="4" borderId="2" xfId="0" applyFont="1" applyFill="1" applyBorder="1" applyAlignment="1">
      <alignment vertical="center"/>
    </xf>
    <xf numFmtId="0" fontId="6" fillId="4" borderId="1" xfId="0" applyFont="1" applyFill="1" applyBorder="1" applyAlignment="1">
      <alignment vertical="center"/>
    </xf>
    <xf numFmtId="0" fontId="6" fillId="4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center" vertical="center" wrapText="1"/>
    </xf>
    <xf numFmtId="0" fontId="11" fillId="5" borderId="4" xfId="0" applyFont="1" applyFill="1" applyBorder="1" applyAlignment="1">
      <alignment horizontal="center" vertical="center" wrapText="1"/>
    </xf>
    <xf numFmtId="0" fontId="9" fillId="5" borderId="7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/>
    </xf>
    <xf numFmtId="3" fontId="7" fillId="6" borderId="4" xfId="0" applyNumberFormat="1" applyFont="1" applyFill="1" applyBorder="1" applyAlignment="1">
      <alignment horizontal="center" vertical="center"/>
    </xf>
    <xf numFmtId="10" fontId="7" fillId="6" borderId="4" xfId="0" applyNumberFormat="1" applyFont="1" applyFill="1" applyBorder="1" applyAlignment="1">
      <alignment horizontal="center" vertical="center"/>
    </xf>
    <xf numFmtId="0" fontId="4" fillId="0" borderId="0" xfId="0" applyFont="1"/>
    <xf numFmtId="9" fontId="4" fillId="0" borderId="0" xfId="1" applyFont="1" applyFill="1"/>
    <xf numFmtId="9" fontId="4" fillId="0" borderId="0" xfId="0" applyNumberFormat="1" applyFont="1"/>
    <xf numFmtId="0" fontId="1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9" fontId="4" fillId="0" borderId="0" xfId="0" applyNumberFormat="1" applyFont="1" applyAlignment="1">
      <alignment horizontal="center"/>
    </xf>
    <xf numFmtId="0" fontId="9" fillId="5" borderId="4" xfId="0" applyFont="1" applyFill="1" applyBorder="1" applyAlignment="1">
      <alignment horizontal="center" vertical="center" wrapText="1"/>
    </xf>
    <xf numFmtId="3" fontId="10" fillId="2" borderId="1" xfId="0" applyNumberFormat="1" applyFont="1" applyFill="1" applyBorder="1" applyAlignment="1">
      <alignment horizontal="center" vertical="center" wrapText="1"/>
    </xf>
    <xf numFmtId="3" fontId="10" fillId="2" borderId="2" xfId="0" applyNumberFormat="1" applyFont="1" applyFill="1" applyBorder="1" applyAlignment="1">
      <alignment horizontal="center" vertical="center" wrapText="1"/>
    </xf>
    <xf numFmtId="3" fontId="10" fillId="2" borderId="3" xfId="0" applyNumberFormat="1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9" fillId="5" borderId="3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3" fontId="10" fillId="2" borderId="4" xfId="0" applyNumberFormat="1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0" fontId="6" fillId="4" borderId="4" xfId="0" applyFont="1" applyFill="1" applyBorder="1" applyAlignment="1">
      <alignment horizontal="center" vertical="center" wrapText="1"/>
    </xf>
    <xf numFmtId="3" fontId="7" fillId="2" borderId="4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B4C6E7"/>
      <color rgb="FFD9E1F2"/>
      <color rgb="FF8EA9DB"/>
      <color rgb="FF8E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Performance Index</a:t>
            </a:r>
          </a:p>
        </c:rich>
      </c:tx>
      <c:layout>
        <c:manualLayout>
          <c:xMode val="edge"/>
          <c:yMode val="edge"/>
          <c:x val="0.41490169062584487"/>
          <c:y val="1.427296313442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63091529031219"/>
          <c:y val="0.16679341183001628"/>
          <c:w val="0.86376599523439446"/>
          <c:h val="0.586213918154666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Bluebird!$N$27</c:f>
              <c:strCache>
                <c:ptCount val="1"/>
                <c:pt idx="0">
                  <c:v>Quarterly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Bluebird!$M$28:$M$31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Bluebird!$N$28:$N$31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23-45EA-B13B-55E3E42CDA5B}"/>
            </c:ext>
          </c:extLst>
        </c:ser>
        <c:ser>
          <c:idx val="1"/>
          <c:order val="1"/>
          <c:tx>
            <c:strRef>
              <c:f>Bluebird!$O$27</c:f>
              <c:strCache>
                <c:ptCount val="1"/>
                <c:pt idx="0">
                  <c:v>YTD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Bluebird!$M$28:$M$31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Bluebird!$O$28:$O$31</c:f>
              <c:numCache>
                <c:formatCode>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23-45EA-B13B-55E3E42CD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4862192"/>
        <c:axId val="957567984"/>
      </c:barChart>
      <c:catAx>
        <c:axId val="78486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67984"/>
        <c:crosses val="autoZero"/>
        <c:auto val="1"/>
        <c:lblAlgn val="ctr"/>
        <c:lblOffset val="100"/>
        <c:noMultiLvlLbl val="0"/>
      </c:catAx>
      <c:valAx>
        <c:axId val="9575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6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582822816094771"/>
          <c:y val="0.88532416142006165"/>
          <c:w val="0.1770831278649932"/>
          <c:h val="0.10214951482665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 sz="900" b="1">
                <a:solidFill>
                  <a:schemeClr val="tx1"/>
                </a:solidFill>
                <a:latin typeface="Bahnschrift" panose="020B0502040204020203" pitchFamily="34" charset="0"/>
              </a:rPr>
              <a:t>Yearly Summary to Date</a:t>
            </a:r>
          </a:p>
        </c:rich>
      </c:tx>
      <c:layout>
        <c:manualLayout>
          <c:xMode val="edge"/>
          <c:yMode val="edge"/>
          <c:x val="0.39009757892412983"/>
          <c:y val="1.6272284134186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37847914238936E-2"/>
          <c:y val="0.23461349363220996"/>
          <c:w val="0.93833567484562352"/>
          <c:h val="0.6235008297313634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Bluebird!$E$27</c:f>
              <c:strCache>
                <c:ptCount val="1"/>
                <c:pt idx="0">
                  <c:v>Observed Insolation (Wh/m2)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Bluebird!$A$28:$A$31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Bluebird!$E$28:$E$31</c:f>
              <c:numCache>
                <c:formatCode>#,##0_);\(#,##0\)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2D4-4D3A-BC7F-99DFF2C4A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5516104"/>
        <c:axId val="505521352"/>
      </c:barChart>
      <c:lineChart>
        <c:grouping val="standard"/>
        <c:varyColors val="0"/>
        <c:ser>
          <c:idx val="0"/>
          <c:order val="0"/>
          <c:tx>
            <c:strRef>
              <c:f>Bluebird!$I$27</c:f>
              <c:strCache>
                <c:ptCount val="1"/>
                <c:pt idx="0">
                  <c:v>Performance Index 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Q1</c:v>
              </c:pt>
              <c:pt idx="1">
                <c:v>Q2</c:v>
              </c:pt>
              <c:pt idx="2">
                <c:v>Q3</c:v>
              </c:pt>
              <c:pt idx="3">
                <c:v>Q4</c:v>
              </c:pt>
            </c:strLit>
          </c:cat>
          <c:val>
            <c:numRef>
              <c:f>Bluebird!$I$28:$I$31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D4-4D3A-BC7F-99DFF2C4A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2664816"/>
        <c:axId val="1282670640"/>
      </c:lineChart>
      <c:catAx>
        <c:axId val="5055161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high"/>
        <c:spPr>
          <a:noFill/>
          <a:ln w="6350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21352"/>
        <c:crosses val="autoZero"/>
        <c:auto val="1"/>
        <c:lblAlgn val="ctr"/>
        <c:lblOffset val="100"/>
        <c:noMultiLvlLbl val="0"/>
      </c:catAx>
      <c:valAx>
        <c:axId val="50552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in"/>
        <c:tickLblPos val="nextTo"/>
        <c:spPr>
          <a:noFill/>
          <a:ln w="6350"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16104"/>
        <c:crosses val="autoZero"/>
        <c:crossBetween val="between"/>
      </c:valAx>
      <c:valAx>
        <c:axId val="128267064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64816"/>
        <c:crosses val="max"/>
        <c:crossBetween val="between"/>
      </c:valAx>
      <c:catAx>
        <c:axId val="1282664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82670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129774560755842"/>
          <c:y val="0.88090542334379984"/>
          <c:w val="0.24872339651924835"/>
          <c:h val="0.119094576656200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accent5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Performance Index</a:t>
            </a:r>
          </a:p>
        </c:rich>
      </c:tx>
      <c:layout>
        <c:manualLayout>
          <c:xMode val="edge"/>
          <c:yMode val="edge"/>
          <c:x val="0.41490169062584487"/>
          <c:y val="1.427296313442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63091529031219"/>
          <c:y val="0.16679341183001628"/>
          <c:w val="0.86376599523439446"/>
          <c:h val="0.586213918154666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Cardinal!$N$27</c:f>
              <c:strCache>
                <c:ptCount val="1"/>
                <c:pt idx="0">
                  <c:v>Quarterly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Cardinal!$M$28:$M$31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Cardinal!$N$28:$N$31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90-4A7C-B8DB-B9B628107596}"/>
            </c:ext>
          </c:extLst>
        </c:ser>
        <c:ser>
          <c:idx val="1"/>
          <c:order val="1"/>
          <c:tx>
            <c:strRef>
              <c:f>Cardinal!$O$27</c:f>
              <c:strCache>
                <c:ptCount val="1"/>
                <c:pt idx="0">
                  <c:v>YTD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Cardinal!$M$28:$M$31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Cardinal!$O$28:$O$31</c:f>
              <c:numCache>
                <c:formatCode>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90-4A7C-B8DB-B9B628107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4862192"/>
        <c:axId val="957567984"/>
      </c:barChart>
      <c:catAx>
        <c:axId val="78486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67984"/>
        <c:crosses val="autoZero"/>
        <c:auto val="1"/>
        <c:lblAlgn val="ctr"/>
        <c:lblOffset val="100"/>
        <c:noMultiLvlLbl val="0"/>
      </c:catAx>
      <c:valAx>
        <c:axId val="9575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6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582822816094771"/>
          <c:y val="0.88532416142006165"/>
          <c:w val="0.1770831278649932"/>
          <c:h val="0.10214951482665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 sz="900" b="1">
                <a:solidFill>
                  <a:schemeClr val="tx1"/>
                </a:solidFill>
                <a:latin typeface="Bahnschrift" panose="020B0502040204020203" pitchFamily="34" charset="0"/>
              </a:rPr>
              <a:t>Yearly Summary to Date</a:t>
            </a:r>
          </a:p>
        </c:rich>
      </c:tx>
      <c:layout>
        <c:manualLayout>
          <c:xMode val="edge"/>
          <c:yMode val="edge"/>
          <c:x val="0.39009757892412983"/>
          <c:y val="1.6272284134186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37847914238936E-2"/>
          <c:y val="0.23461349363220996"/>
          <c:w val="0.93833567484562352"/>
          <c:h val="0.6235008297313634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Cardinal!$E$27</c:f>
              <c:strCache>
                <c:ptCount val="1"/>
                <c:pt idx="0">
                  <c:v>Observed Insolation (Wh/m2)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Cardinal!$A$28:$A$31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Cardinal!$E$28:$E$31</c:f>
              <c:numCache>
                <c:formatCode>#,##0_);\(#,##0\)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AE0-4AA4-897C-C7E534FBF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5516104"/>
        <c:axId val="505521352"/>
      </c:barChart>
      <c:lineChart>
        <c:grouping val="standard"/>
        <c:varyColors val="0"/>
        <c:ser>
          <c:idx val="0"/>
          <c:order val="0"/>
          <c:tx>
            <c:strRef>
              <c:f>Cardinal!$I$27</c:f>
              <c:strCache>
                <c:ptCount val="1"/>
                <c:pt idx="0">
                  <c:v>Performance Index 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Q1</c:v>
              </c:pt>
              <c:pt idx="1">
                <c:v>Q2</c:v>
              </c:pt>
              <c:pt idx="2">
                <c:v>Q3</c:v>
              </c:pt>
              <c:pt idx="3">
                <c:v>Q4</c:v>
              </c:pt>
            </c:strLit>
          </c:cat>
          <c:val>
            <c:numRef>
              <c:f>Cardinal!$I$28:$I$31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E0-4AA4-897C-C7E534FBF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2664816"/>
        <c:axId val="1282670640"/>
      </c:lineChart>
      <c:catAx>
        <c:axId val="5055161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high"/>
        <c:spPr>
          <a:noFill/>
          <a:ln w="6350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21352"/>
        <c:crosses val="autoZero"/>
        <c:auto val="1"/>
        <c:lblAlgn val="ctr"/>
        <c:lblOffset val="100"/>
        <c:noMultiLvlLbl val="0"/>
      </c:catAx>
      <c:valAx>
        <c:axId val="50552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in"/>
        <c:tickLblPos val="nextTo"/>
        <c:spPr>
          <a:noFill/>
          <a:ln w="6350"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16104"/>
        <c:crosses val="autoZero"/>
        <c:crossBetween val="between"/>
      </c:valAx>
      <c:valAx>
        <c:axId val="128267064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64816"/>
        <c:crosses val="max"/>
        <c:crossBetween val="between"/>
      </c:valAx>
      <c:catAx>
        <c:axId val="1282664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82670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129774560755842"/>
          <c:y val="0.88090542334379984"/>
          <c:w val="0.24872339651924835"/>
          <c:h val="0.119094576656200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accent5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Performance Index</a:t>
            </a:r>
          </a:p>
        </c:rich>
      </c:tx>
      <c:layout>
        <c:manualLayout>
          <c:xMode val="edge"/>
          <c:yMode val="edge"/>
          <c:x val="0.41490169062584487"/>
          <c:y val="1.427296313442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63091529031219"/>
          <c:y val="0.16679341183001628"/>
          <c:w val="0.86376599523439446"/>
          <c:h val="0.586213918154666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Cherry!$N$27</c:f>
              <c:strCache>
                <c:ptCount val="1"/>
                <c:pt idx="0">
                  <c:v>Quarterly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Cherry!$M$28:$M$31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Cherry!$N$28:$N$31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AC-4ED0-8D7A-41232E67F71D}"/>
            </c:ext>
          </c:extLst>
        </c:ser>
        <c:ser>
          <c:idx val="1"/>
          <c:order val="1"/>
          <c:tx>
            <c:strRef>
              <c:f>Cherry!$O$27</c:f>
              <c:strCache>
                <c:ptCount val="1"/>
                <c:pt idx="0">
                  <c:v>YTD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Cherry!$M$28:$M$31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Cherry!$O$28:$O$31</c:f>
              <c:numCache>
                <c:formatCode>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AC-4ED0-8D7A-41232E67F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4862192"/>
        <c:axId val="957567984"/>
      </c:barChart>
      <c:catAx>
        <c:axId val="78486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67984"/>
        <c:crosses val="autoZero"/>
        <c:auto val="1"/>
        <c:lblAlgn val="ctr"/>
        <c:lblOffset val="100"/>
        <c:noMultiLvlLbl val="0"/>
      </c:catAx>
      <c:valAx>
        <c:axId val="9575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6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582822816094771"/>
          <c:y val="0.88532416142006165"/>
          <c:w val="0.1770831278649932"/>
          <c:h val="0.10214951482665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 sz="900" b="1">
                <a:solidFill>
                  <a:schemeClr val="tx1"/>
                </a:solidFill>
                <a:latin typeface="Bahnschrift" panose="020B0502040204020203" pitchFamily="34" charset="0"/>
              </a:rPr>
              <a:t>Yearly Summary to Date</a:t>
            </a:r>
          </a:p>
        </c:rich>
      </c:tx>
      <c:layout>
        <c:manualLayout>
          <c:xMode val="edge"/>
          <c:yMode val="edge"/>
          <c:x val="0.39009757892412983"/>
          <c:y val="1.6272284134186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37847914238936E-2"/>
          <c:y val="0.23461349363220996"/>
          <c:w val="0.93833567484562352"/>
          <c:h val="0.6235008297313634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Cherry!$E$27</c:f>
              <c:strCache>
                <c:ptCount val="1"/>
                <c:pt idx="0">
                  <c:v>Observed Insolation (Wh/m2)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Cherry!$A$28:$A$31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Cherry!$E$28:$E$31</c:f>
              <c:numCache>
                <c:formatCode>#,##0_);\(#,##0\)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C9D-4A7B-9565-6DD78879E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5516104"/>
        <c:axId val="505521352"/>
      </c:barChart>
      <c:lineChart>
        <c:grouping val="standard"/>
        <c:varyColors val="0"/>
        <c:ser>
          <c:idx val="0"/>
          <c:order val="0"/>
          <c:tx>
            <c:strRef>
              <c:f>Cherry!$I$27</c:f>
              <c:strCache>
                <c:ptCount val="1"/>
                <c:pt idx="0">
                  <c:v>Performance Index 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Q1</c:v>
              </c:pt>
              <c:pt idx="1">
                <c:v>Q2</c:v>
              </c:pt>
              <c:pt idx="2">
                <c:v>Q3</c:v>
              </c:pt>
              <c:pt idx="3">
                <c:v>Q4</c:v>
              </c:pt>
            </c:strLit>
          </c:cat>
          <c:val>
            <c:numRef>
              <c:f>Cherry!$I$28:$I$31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9D-4A7B-9565-6DD78879E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2664816"/>
        <c:axId val="1282670640"/>
      </c:lineChart>
      <c:catAx>
        <c:axId val="5055161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high"/>
        <c:spPr>
          <a:noFill/>
          <a:ln w="6350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21352"/>
        <c:crosses val="autoZero"/>
        <c:auto val="1"/>
        <c:lblAlgn val="ctr"/>
        <c:lblOffset val="100"/>
        <c:noMultiLvlLbl val="0"/>
      </c:catAx>
      <c:valAx>
        <c:axId val="50552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in"/>
        <c:tickLblPos val="nextTo"/>
        <c:spPr>
          <a:noFill/>
          <a:ln w="6350"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16104"/>
        <c:crosses val="autoZero"/>
        <c:crossBetween val="between"/>
      </c:valAx>
      <c:valAx>
        <c:axId val="128267064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64816"/>
        <c:crosses val="max"/>
        <c:crossBetween val="between"/>
      </c:valAx>
      <c:catAx>
        <c:axId val="1282664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82670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129774560755842"/>
          <c:y val="0.88090542334379984"/>
          <c:w val="0.24872339651924835"/>
          <c:h val="0.119094576656200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accent5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Performance Index</a:t>
            </a:r>
          </a:p>
        </c:rich>
      </c:tx>
      <c:layout>
        <c:manualLayout>
          <c:xMode val="edge"/>
          <c:yMode val="edge"/>
          <c:x val="0.41490169062584487"/>
          <c:y val="1.427296313442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63091529031219"/>
          <c:y val="0.16679341183001628"/>
          <c:w val="0.86376599523439446"/>
          <c:h val="0.586213918154666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Cougar!$N$27</c:f>
              <c:strCache>
                <c:ptCount val="1"/>
                <c:pt idx="0">
                  <c:v>Quarterly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Cougar!$M$28:$M$31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Cougar!$N$28:$N$31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7B-43C6-8A39-76D1B0A63444}"/>
            </c:ext>
          </c:extLst>
        </c:ser>
        <c:ser>
          <c:idx val="1"/>
          <c:order val="1"/>
          <c:tx>
            <c:strRef>
              <c:f>Cougar!$O$27</c:f>
              <c:strCache>
                <c:ptCount val="1"/>
                <c:pt idx="0">
                  <c:v>YTD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Cougar!$M$28:$M$31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Cougar!$O$28:$O$31</c:f>
              <c:numCache>
                <c:formatCode>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7B-43C6-8A39-76D1B0A63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4862192"/>
        <c:axId val="957567984"/>
      </c:barChart>
      <c:catAx>
        <c:axId val="78486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67984"/>
        <c:crosses val="autoZero"/>
        <c:auto val="1"/>
        <c:lblAlgn val="ctr"/>
        <c:lblOffset val="100"/>
        <c:noMultiLvlLbl val="0"/>
      </c:catAx>
      <c:valAx>
        <c:axId val="9575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6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582822816094771"/>
          <c:y val="0.88532416142006165"/>
          <c:w val="0.1770831278649932"/>
          <c:h val="0.10214951482665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 sz="900" b="1">
                <a:solidFill>
                  <a:schemeClr val="tx1"/>
                </a:solidFill>
                <a:latin typeface="Bahnschrift" panose="020B0502040204020203" pitchFamily="34" charset="0"/>
              </a:rPr>
              <a:t>Yearly Summary to Date</a:t>
            </a:r>
          </a:p>
        </c:rich>
      </c:tx>
      <c:layout>
        <c:manualLayout>
          <c:xMode val="edge"/>
          <c:yMode val="edge"/>
          <c:x val="0.39009757892412983"/>
          <c:y val="1.6272284134186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37847914238936E-2"/>
          <c:y val="0.23461349363220996"/>
          <c:w val="0.93833567484562352"/>
          <c:h val="0.6235008297313634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Cougar!$E$27</c:f>
              <c:strCache>
                <c:ptCount val="1"/>
                <c:pt idx="0">
                  <c:v>Observed Insolation (Wh/m2)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Cougar!$A$28:$A$31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Cougar!$E$28:$E$31</c:f>
              <c:numCache>
                <c:formatCode>#,##0_);\(#,##0\)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79A3-4D4C-B5BC-0392313B5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5516104"/>
        <c:axId val="505521352"/>
      </c:barChart>
      <c:lineChart>
        <c:grouping val="standard"/>
        <c:varyColors val="0"/>
        <c:ser>
          <c:idx val="0"/>
          <c:order val="0"/>
          <c:tx>
            <c:strRef>
              <c:f>Cougar!$I$27</c:f>
              <c:strCache>
                <c:ptCount val="1"/>
                <c:pt idx="0">
                  <c:v>Performance Index 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Q1</c:v>
              </c:pt>
              <c:pt idx="1">
                <c:v>Q2</c:v>
              </c:pt>
              <c:pt idx="2">
                <c:v>Q3</c:v>
              </c:pt>
              <c:pt idx="3">
                <c:v>Q4</c:v>
              </c:pt>
            </c:strLit>
          </c:cat>
          <c:val>
            <c:numRef>
              <c:f>Cougar!$I$28:$I$31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A3-4D4C-B5BC-0392313B5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2664816"/>
        <c:axId val="1282670640"/>
      </c:lineChart>
      <c:catAx>
        <c:axId val="5055161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high"/>
        <c:spPr>
          <a:noFill/>
          <a:ln w="6350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21352"/>
        <c:crosses val="autoZero"/>
        <c:auto val="1"/>
        <c:lblAlgn val="ctr"/>
        <c:lblOffset val="100"/>
        <c:noMultiLvlLbl val="0"/>
      </c:catAx>
      <c:valAx>
        <c:axId val="50552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in"/>
        <c:tickLblPos val="nextTo"/>
        <c:spPr>
          <a:noFill/>
          <a:ln w="6350"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16104"/>
        <c:crosses val="autoZero"/>
        <c:crossBetween val="between"/>
      </c:valAx>
      <c:valAx>
        <c:axId val="128267064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64816"/>
        <c:crosses val="max"/>
        <c:crossBetween val="between"/>
      </c:valAx>
      <c:catAx>
        <c:axId val="1282664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82670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129774560755842"/>
          <c:y val="0.88090542334379984"/>
          <c:w val="0.24872339651924835"/>
          <c:h val="0.119094576656200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accent5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Performance Index</a:t>
            </a:r>
          </a:p>
        </c:rich>
      </c:tx>
      <c:layout>
        <c:manualLayout>
          <c:xMode val="edge"/>
          <c:yMode val="edge"/>
          <c:x val="0.41490169062584487"/>
          <c:y val="1.427296313442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63091529031219"/>
          <c:y val="0.16679341183001628"/>
          <c:w val="0.86376599523439446"/>
          <c:h val="0.586213918154666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Harrison!$N$27</c:f>
              <c:strCache>
                <c:ptCount val="1"/>
                <c:pt idx="0">
                  <c:v>Quarterly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Harrison!$M$28:$M$31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Harrison!$N$28:$N$31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D6-43A9-99D7-749BDE134BEE}"/>
            </c:ext>
          </c:extLst>
        </c:ser>
        <c:ser>
          <c:idx val="1"/>
          <c:order val="1"/>
          <c:tx>
            <c:strRef>
              <c:f>Harrison!$O$27</c:f>
              <c:strCache>
                <c:ptCount val="1"/>
                <c:pt idx="0">
                  <c:v>YTD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Harrison!$M$28:$M$31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Harrison!$O$28:$O$31</c:f>
              <c:numCache>
                <c:formatCode>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D6-43A9-99D7-749BDE134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4862192"/>
        <c:axId val="957567984"/>
      </c:barChart>
      <c:catAx>
        <c:axId val="78486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67984"/>
        <c:crosses val="autoZero"/>
        <c:auto val="1"/>
        <c:lblAlgn val="ctr"/>
        <c:lblOffset val="100"/>
        <c:noMultiLvlLbl val="0"/>
      </c:catAx>
      <c:valAx>
        <c:axId val="9575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6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582822816094771"/>
          <c:y val="0.88532416142006165"/>
          <c:w val="0.1770831278649932"/>
          <c:h val="0.10214951482665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 sz="900" b="1">
                <a:solidFill>
                  <a:schemeClr val="tx1"/>
                </a:solidFill>
                <a:latin typeface="Bahnschrift" panose="020B0502040204020203" pitchFamily="34" charset="0"/>
              </a:rPr>
              <a:t>Yearly Summary to Date</a:t>
            </a:r>
          </a:p>
        </c:rich>
      </c:tx>
      <c:layout>
        <c:manualLayout>
          <c:xMode val="edge"/>
          <c:yMode val="edge"/>
          <c:x val="0.39009757892412983"/>
          <c:y val="1.6272284134186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37847914238936E-2"/>
          <c:y val="0.23461349363220996"/>
          <c:w val="0.93833567484562352"/>
          <c:h val="0.6235008297313634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Harrison!$E$27</c:f>
              <c:strCache>
                <c:ptCount val="1"/>
                <c:pt idx="0">
                  <c:v>Observed Insolation (Wh/m2)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Harrison!$A$28:$A$31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Harrison!$E$28:$E$31</c:f>
              <c:numCache>
                <c:formatCode>#,##0_);\(#,##0\)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AC4-4CCE-B9C1-6932B69EB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5516104"/>
        <c:axId val="505521352"/>
      </c:barChart>
      <c:lineChart>
        <c:grouping val="standard"/>
        <c:varyColors val="0"/>
        <c:ser>
          <c:idx val="0"/>
          <c:order val="0"/>
          <c:tx>
            <c:strRef>
              <c:f>Harrison!$I$27</c:f>
              <c:strCache>
                <c:ptCount val="1"/>
                <c:pt idx="0">
                  <c:v>Performance Index 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Q1</c:v>
              </c:pt>
              <c:pt idx="1">
                <c:v>Q2</c:v>
              </c:pt>
              <c:pt idx="2">
                <c:v>Q3</c:v>
              </c:pt>
              <c:pt idx="3">
                <c:v>Q4</c:v>
              </c:pt>
            </c:strLit>
          </c:cat>
          <c:val>
            <c:numRef>
              <c:f>Harrison!$I$28:$I$31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C4-4CCE-B9C1-6932B69EB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2664816"/>
        <c:axId val="1282670640"/>
      </c:lineChart>
      <c:catAx>
        <c:axId val="5055161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high"/>
        <c:spPr>
          <a:noFill/>
          <a:ln w="6350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21352"/>
        <c:crosses val="autoZero"/>
        <c:auto val="1"/>
        <c:lblAlgn val="ctr"/>
        <c:lblOffset val="100"/>
        <c:noMultiLvlLbl val="0"/>
      </c:catAx>
      <c:valAx>
        <c:axId val="50552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in"/>
        <c:tickLblPos val="nextTo"/>
        <c:spPr>
          <a:noFill/>
          <a:ln w="6350"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16104"/>
        <c:crosses val="autoZero"/>
        <c:crossBetween val="between"/>
      </c:valAx>
      <c:valAx>
        <c:axId val="128267064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64816"/>
        <c:crosses val="max"/>
        <c:crossBetween val="between"/>
      </c:valAx>
      <c:catAx>
        <c:axId val="1282664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82670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129774560755842"/>
          <c:y val="0.88090542334379984"/>
          <c:w val="0.24872339651924835"/>
          <c:h val="0.119094576656200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accent5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Performance Index</a:t>
            </a:r>
          </a:p>
        </c:rich>
      </c:tx>
      <c:layout>
        <c:manualLayout>
          <c:xMode val="edge"/>
          <c:yMode val="edge"/>
          <c:x val="0.41490169062584487"/>
          <c:y val="1.427296313442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63091529031219"/>
          <c:y val="0.16679341183001628"/>
          <c:w val="0.86376599523439446"/>
          <c:h val="0.586213918154666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Hayes!$N$27</c:f>
              <c:strCache>
                <c:ptCount val="1"/>
                <c:pt idx="0">
                  <c:v>Quarterly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Hayes!$M$28:$M$31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Hayes!$N$28:$N$31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3D-41C3-95D2-896EA295A06E}"/>
            </c:ext>
          </c:extLst>
        </c:ser>
        <c:ser>
          <c:idx val="1"/>
          <c:order val="1"/>
          <c:tx>
            <c:strRef>
              <c:f>Hayes!$O$27</c:f>
              <c:strCache>
                <c:ptCount val="1"/>
                <c:pt idx="0">
                  <c:v>YTD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Hayes!$M$28:$M$31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Hayes!$O$28:$O$31</c:f>
              <c:numCache>
                <c:formatCode>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3D-41C3-95D2-896EA295A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4862192"/>
        <c:axId val="957567984"/>
      </c:barChart>
      <c:catAx>
        <c:axId val="78486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67984"/>
        <c:crosses val="autoZero"/>
        <c:auto val="1"/>
        <c:lblAlgn val="ctr"/>
        <c:lblOffset val="100"/>
        <c:noMultiLvlLbl val="0"/>
      </c:catAx>
      <c:valAx>
        <c:axId val="9575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6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582822816094771"/>
          <c:y val="0.88532416142006165"/>
          <c:w val="0.1770831278649932"/>
          <c:h val="0.10214951482665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 sz="900" b="1">
                <a:solidFill>
                  <a:schemeClr val="tx1"/>
                </a:solidFill>
                <a:latin typeface="Bahnschrift" panose="020B0502040204020203" pitchFamily="34" charset="0"/>
              </a:rPr>
              <a:t>Yearly Summary to Date</a:t>
            </a:r>
          </a:p>
        </c:rich>
      </c:tx>
      <c:layout>
        <c:manualLayout>
          <c:xMode val="edge"/>
          <c:yMode val="edge"/>
          <c:x val="0.39009757892412983"/>
          <c:y val="1.6272284134186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37847914238936E-2"/>
          <c:y val="0.23461349363220996"/>
          <c:w val="0.93833567484562352"/>
          <c:h val="0.6235008297313634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Hayes!$E$27</c:f>
              <c:strCache>
                <c:ptCount val="1"/>
                <c:pt idx="0">
                  <c:v>Observed Insolation (Wh/m2)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Hayes!$A$28:$A$31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Hayes!$E$28:$E$31</c:f>
              <c:numCache>
                <c:formatCode>#,##0_);\(#,##0\)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1BA-4724-9CC6-67E1A7F3B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5516104"/>
        <c:axId val="505521352"/>
      </c:barChart>
      <c:lineChart>
        <c:grouping val="standard"/>
        <c:varyColors val="0"/>
        <c:ser>
          <c:idx val="0"/>
          <c:order val="0"/>
          <c:tx>
            <c:strRef>
              <c:f>Hayes!$I$27</c:f>
              <c:strCache>
                <c:ptCount val="1"/>
                <c:pt idx="0">
                  <c:v>Performance Index 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Q1</c:v>
              </c:pt>
              <c:pt idx="1">
                <c:v>Q2</c:v>
              </c:pt>
              <c:pt idx="2">
                <c:v>Q3</c:v>
              </c:pt>
              <c:pt idx="3">
                <c:v>Q4</c:v>
              </c:pt>
            </c:strLit>
          </c:cat>
          <c:val>
            <c:numRef>
              <c:f>Hayes!$I$28:$I$31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BA-4724-9CC6-67E1A7F3B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2664816"/>
        <c:axId val="1282670640"/>
      </c:lineChart>
      <c:catAx>
        <c:axId val="5055161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high"/>
        <c:spPr>
          <a:noFill/>
          <a:ln w="6350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21352"/>
        <c:crosses val="autoZero"/>
        <c:auto val="1"/>
        <c:lblAlgn val="ctr"/>
        <c:lblOffset val="100"/>
        <c:noMultiLvlLbl val="0"/>
      </c:catAx>
      <c:valAx>
        <c:axId val="50552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in"/>
        <c:tickLblPos val="nextTo"/>
        <c:spPr>
          <a:noFill/>
          <a:ln w="6350"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16104"/>
        <c:crosses val="autoZero"/>
        <c:crossBetween val="between"/>
      </c:valAx>
      <c:valAx>
        <c:axId val="128267064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64816"/>
        <c:crosses val="max"/>
        <c:crossBetween val="between"/>
      </c:valAx>
      <c:catAx>
        <c:axId val="1282664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82670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129774560755842"/>
          <c:y val="0.88090542334379984"/>
          <c:w val="0.24872339651924835"/>
          <c:h val="0.119094576656200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accent5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Performance Index</a:t>
            </a:r>
          </a:p>
        </c:rich>
      </c:tx>
      <c:layout>
        <c:manualLayout>
          <c:xMode val="edge"/>
          <c:yMode val="edge"/>
          <c:x val="0.41490169062584487"/>
          <c:y val="1.427296313442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63091529031219"/>
          <c:y val="0.16679341183001628"/>
          <c:w val="0.86376599523439446"/>
          <c:h val="0.586213918154666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Hickory!$N$27</c:f>
              <c:strCache>
                <c:ptCount val="1"/>
                <c:pt idx="0">
                  <c:v>Quarterly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Hickory!$M$28:$M$31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Hickory!$N$28:$N$31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CD-4F24-B7D3-9FFB8E6CF80B}"/>
            </c:ext>
          </c:extLst>
        </c:ser>
        <c:ser>
          <c:idx val="1"/>
          <c:order val="1"/>
          <c:tx>
            <c:strRef>
              <c:f>Hickory!$O$27</c:f>
              <c:strCache>
                <c:ptCount val="1"/>
                <c:pt idx="0">
                  <c:v>YTD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Hickory!$M$28:$M$31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Hickory!$O$28:$O$31</c:f>
              <c:numCache>
                <c:formatCode>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CD-4F24-B7D3-9FFB8E6CF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4862192"/>
        <c:axId val="957567984"/>
      </c:barChart>
      <c:catAx>
        <c:axId val="78486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67984"/>
        <c:crosses val="autoZero"/>
        <c:auto val="1"/>
        <c:lblAlgn val="ctr"/>
        <c:lblOffset val="100"/>
        <c:noMultiLvlLbl val="0"/>
      </c:catAx>
      <c:valAx>
        <c:axId val="9575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6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582822816094771"/>
          <c:y val="0.88532416142006165"/>
          <c:w val="0.1770831278649932"/>
          <c:h val="0.10214951482665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 sz="900" b="1">
                <a:solidFill>
                  <a:schemeClr val="tx1"/>
                </a:solidFill>
                <a:latin typeface="Bahnschrift" panose="020B0502040204020203" pitchFamily="34" charset="0"/>
              </a:rPr>
              <a:t>Yearly Summary to Date</a:t>
            </a:r>
          </a:p>
        </c:rich>
      </c:tx>
      <c:layout>
        <c:manualLayout>
          <c:xMode val="edge"/>
          <c:yMode val="edge"/>
          <c:x val="0.39009757892412983"/>
          <c:y val="1.6272284134186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37847914238936E-2"/>
          <c:y val="0.23461349363220996"/>
          <c:w val="0.93833567484562352"/>
          <c:h val="0.6235008297313634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Hickory!$E$27</c:f>
              <c:strCache>
                <c:ptCount val="1"/>
                <c:pt idx="0">
                  <c:v>Observed Insolation (Wh/m2)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Hickory!$A$28:$A$31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Hickory!$E$28:$E$31</c:f>
              <c:numCache>
                <c:formatCode>#,##0_);\(#,##0\)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8C63-489B-9C2C-D1CD8C1DD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5516104"/>
        <c:axId val="505521352"/>
      </c:barChart>
      <c:lineChart>
        <c:grouping val="standard"/>
        <c:varyColors val="0"/>
        <c:ser>
          <c:idx val="0"/>
          <c:order val="0"/>
          <c:tx>
            <c:strRef>
              <c:f>Hickory!$I$27</c:f>
              <c:strCache>
                <c:ptCount val="1"/>
                <c:pt idx="0">
                  <c:v>Performance Index 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Q1</c:v>
              </c:pt>
              <c:pt idx="1">
                <c:v>Q2</c:v>
              </c:pt>
              <c:pt idx="2">
                <c:v>Q3</c:v>
              </c:pt>
              <c:pt idx="3">
                <c:v>Q4</c:v>
              </c:pt>
            </c:strLit>
          </c:cat>
          <c:val>
            <c:numRef>
              <c:f>Hickory!$I$28:$I$31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3-489B-9C2C-D1CD8C1DD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2664816"/>
        <c:axId val="1282670640"/>
      </c:lineChart>
      <c:catAx>
        <c:axId val="5055161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high"/>
        <c:spPr>
          <a:noFill/>
          <a:ln w="6350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21352"/>
        <c:crosses val="autoZero"/>
        <c:auto val="1"/>
        <c:lblAlgn val="ctr"/>
        <c:lblOffset val="100"/>
        <c:noMultiLvlLbl val="0"/>
      </c:catAx>
      <c:valAx>
        <c:axId val="50552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in"/>
        <c:tickLblPos val="nextTo"/>
        <c:spPr>
          <a:noFill/>
          <a:ln w="6350"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16104"/>
        <c:crosses val="autoZero"/>
        <c:crossBetween val="between"/>
      </c:valAx>
      <c:valAx>
        <c:axId val="128267064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64816"/>
        <c:crosses val="max"/>
        <c:crossBetween val="between"/>
      </c:valAx>
      <c:catAx>
        <c:axId val="1282664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82670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129774560755842"/>
          <c:y val="0.88090542334379984"/>
          <c:w val="0.24872339651924835"/>
          <c:h val="0.119094576656200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accent5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Performance Index</a:t>
            </a:r>
          </a:p>
        </c:rich>
      </c:tx>
      <c:layout>
        <c:manualLayout>
          <c:xMode val="edge"/>
          <c:yMode val="edge"/>
          <c:x val="0.41490169062584487"/>
          <c:y val="1.427296313442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63091529031219"/>
          <c:y val="0.16679341183001628"/>
          <c:w val="0.86376599523439446"/>
          <c:h val="0.586213918154666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Violet!$N$27</c:f>
              <c:strCache>
                <c:ptCount val="1"/>
                <c:pt idx="0">
                  <c:v>Quarterly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Violet!$M$28:$M$31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Violet!$N$28:$N$31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47-4EC2-8D54-90F68439966D}"/>
            </c:ext>
          </c:extLst>
        </c:ser>
        <c:ser>
          <c:idx val="1"/>
          <c:order val="1"/>
          <c:tx>
            <c:strRef>
              <c:f>Violet!$O$27</c:f>
              <c:strCache>
                <c:ptCount val="1"/>
                <c:pt idx="0">
                  <c:v>YTD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Violet!$M$28:$M$31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Violet!$O$28:$O$31</c:f>
              <c:numCache>
                <c:formatCode>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7-4EC2-8D54-90F684399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4862192"/>
        <c:axId val="957567984"/>
      </c:barChart>
      <c:catAx>
        <c:axId val="78486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67984"/>
        <c:crosses val="autoZero"/>
        <c:auto val="1"/>
        <c:lblAlgn val="ctr"/>
        <c:lblOffset val="100"/>
        <c:noMultiLvlLbl val="0"/>
      </c:catAx>
      <c:valAx>
        <c:axId val="9575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6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582822816094771"/>
          <c:y val="0.88532416142006165"/>
          <c:w val="0.1770831278649932"/>
          <c:h val="0.10214951482665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 sz="900" b="1">
                <a:solidFill>
                  <a:schemeClr val="tx1"/>
                </a:solidFill>
                <a:latin typeface="Bahnschrift" panose="020B0502040204020203" pitchFamily="34" charset="0"/>
              </a:rPr>
              <a:t>Yearly Summary to Date</a:t>
            </a:r>
          </a:p>
        </c:rich>
      </c:tx>
      <c:layout>
        <c:manualLayout>
          <c:xMode val="edge"/>
          <c:yMode val="edge"/>
          <c:x val="0.39009757892412983"/>
          <c:y val="1.6272284134186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37847914238936E-2"/>
          <c:y val="0.23461349363220996"/>
          <c:w val="0.93833567484562352"/>
          <c:h val="0.6235008297313634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Violet!$E$27</c:f>
              <c:strCache>
                <c:ptCount val="1"/>
                <c:pt idx="0">
                  <c:v>Observed Insolation (Wh/m2)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Violet!$A$28:$A$31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Violet!$E$28:$E$31</c:f>
              <c:numCache>
                <c:formatCode>#,##0_);\(#,##0\)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21F-4198-89B0-5D7CE834D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5516104"/>
        <c:axId val="505521352"/>
      </c:barChart>
      <c:lineChart>
        <c:grouping val="standard"/>
        <c:varyColors val="0"/>
        <c:ser>
          <c:idx val="0"/>
          <c:order val="0"/>
          <c:tx>
            <c:strRef>
              <c:f>Violet!$I$27</c:f>
              <c:strCache>
                <c:ptCount val="1"/>
                <c:pt idx="0">
                  <c:v>Performance Index 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Q1</c:v>
              </c:pt>
              <c:pt idx="1">
                <c:v>Q2</c:v>
              </c:pt>
              <c:pt idx="2">
                <c:v>Q3</c:v>
              </c:pt>
              <c:pt idx="3">
                <c:v>Q4</c:v>
              </c:pt>
            </c:strLit>
          </c:cat>
          <c:val>
            <c:numRef>
              <c:f>Violet!$I$28:$I$31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1F-4198-89B0-5D7CE834D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2664816"/>
        <c:axId val="1282670640"/>
      </c:lineChart>
      <c:catAx>
        <c:axId val="5055161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high"/>
        <c:spPr>
          <a:noFill/>
          <a:ln w="6350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21352"/>
        <c:crosses val="autoZero"/>
        <c:auto val="1"/>
        <c:lblAlgn val="ctr"/>
        <c:lblOffset val="100"/>
        <c:noMultiLvlLbl val="0"/>
      </c:catAx>
      <c:valAx>
        <c:axId val="50552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in"/>
        <c:tickLblPos val="nextTo"/>
        <c:spPr>
          <a:noFill/>
          <a:ln w="6350"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16104"/>
        <c:crosses val="autoZero"/>
        <c:crossBetween val="between"/>
      </c:valAx>
      <c:valAx>
        <c:axId val="128267064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64816"/>
        <c:crosses val="max"/>
        <c:crossBetween val="between"/>
      </c:valAx>
      <c:catAx>
        <c:axId val="1282664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82670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129774560755842"/>
          <c:y val="0.88090542334379984"/>
          <c:w val="0.24872339651924835"/>
          <c:h val="0.119094576656200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accent5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Performance Index</a:t>
            </a:r>
          </a:p>
        </c:rich>
      </c:tx>
      <c:layout>
        <c:manualLayout>
          <c:xMode val="edge"/>
          <c:yMode val="edge"/>
          <c:x val="0.41490169062584487"/>
          <c:y val="1.427296313442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63091529031219"/>
          <c:y val="0.16679341183001628"/>
          <c:w val="0.86376599523439446"/>
          <c:h val="0.586213918154666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Wellons!$N$27</c:f>
              <c:strCache>
                <c:ptCount val="1"/>
                <c:pt idx="0">
                  <c:v>Quarterly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Wellons!$M$28:$M$31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Wellons!$N$28:$N$31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8-4E4A-954B-F8EF3C0B15A6}"/>
            </c:ext>
          </c:extLst>
        </c:ser>
        <c:ser>
          <c:idx val="1"/>
          <c:order val="1"/>
          <c:tx>
            <c:strRef>
              <c:f>Wellons!$O$27</c:f>
              <c:strCache>
                <c:ptCount val="1"/>
                <c:pt idx="0">
                  <c:v>YTD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Wellons!$M$28:$M$31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Wellons!$O$28:$O$31</c:f>
              <c:numCache>
                <c:formatCode>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28-4E4A-954B-F8EF3C0B1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4862192"/>
        <c:axId val="957567984"/>
      </c:barChart>
      <c:catAx>
        <c:axId val="78486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67984"/>
        <c:crosses val="autoZero"/>
        <c:auto val="1"/>
        <c:lblAlgn val="ctr"/>
        <c:lblOffset val="100"/>
        <c:noMultiLvlLbl val="0"/>
      </c:catAx>
      <c:valAx>
        <c:axId val="9575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6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582822816094771"/>
          <c:y val="0.88532416142006165"/>
          <c:w val="0.1770831278649932"/>
          <c:h val="0.10214951482665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 sz="900" b="1">
                <a:solidFill>
                  <a:schemeClr val="tx1"/>
                </a:solidFill>
                <a:latin typeface="Bahnschrift" panose="020B0502040204020203" pitchFamily="34" charset="0"/>
              </a:rPr>
              <a:t>Yearly Summary to Date</a:t>
            </a:r>
          </a:p>
        </c:rich>
      </c:tx>
      <c:layout>
        <c:manualLayout>
          <c:xMode val="edge"/>
          <c:yMode val="edge"/>
          <c:x val="0.39009757892412983"/>
          <c:y val="1.6272284134186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37847914238936E-2"/>
          <c:y val="0.23461349363220996"/>
          <c:w val="0.93833567484562352"/>
          <c:h val="0.6235008297313634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Wellons!$E$27</c:f>
              <c:strCache>
                <c:ptCount val="1"/>
                <c:pt idx="0">
                  <c:v>Observed Insolation (Wh/m2)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Wellons!$A$28:$A$31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Wellons!$E$28:$E$31</c:f>
              <c:numCache>
                <c:formatCode>#,##0_);\(#,##0\)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B06-42DD-BDD0-2D79075D8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5516104"/>
        <c:axId val="505521352"/>
      </c:barChart>
      <c:lineChart>
        <c:grouping val="standard"/>
        <c:varyColors val="0"/>
        <c:ser>
          <c:idx val="0"/>
          <c:order val="0"/>
          <c:tx>
            <c:strRef>
              <c:f>Wellons!$I$27</c:f>
              <c:strCache>
                <c:ptCount val="1"/>
                <c:pt idx="0">
                  <c:v>Performance Index 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Q1</c:v>
              </c:pt>
              <c:pt idx="1">
                <c:v>Q2</c:v>
              </c:pt>
              <c:pt idx="2">
                <c:v>Q3</c:v>
              </c:pt>
              <c:pt idx="3">
                <c:v>Q4</c:v>
              </c:pt>
            </c:strLit>
          </c:cat>
          <c:val>
            <c:numRef>
              <c:f>Wellons!$I$28:$I$31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06-42DD-BDD0-2D79075D8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2664816"/>
        <c:axId val="1282670640"/>
      </c:lineChart>
      <c:catAx>
        <c:axId val="5055161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high"/>
        <c:spPr>
          <a:noFill/>
          <a:ln w="6350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21352"/>
        <c:crosses val="autoZero"/>
        <c:auto val="1"/>
        <c:lblAlgn val="ctr"/>
        <c:lblOffset val="100"/>
        <c:noMultiLvlLbl val="0"/>
      </c:catAx>
      <c:valAx>
        <c:axId val="50552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in"/>
        <c:tickLblPos val="nextTo"/>
        <c:spPr>
          <a:noFill/>
          <a:ln w="6350"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505516104"/>
        <c:crosses val="autoZero"/>
        <c:crossBetween val="between"/>
      </c:valAx>
      <c:valAx>
        <c:axId val="128267064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64816"/>
        <c:crosses val="max"/>
        <c:crossBetween val="between"/>
      </c:valAx>
      <c:catAx>
        <c:axId val="1282664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82670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129774560755842"/>
          <c:y val="0.88090542334379984"/>
          <c:w val="0.24872339651924835"/>
          <c:h val="0.119094576656200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accent5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4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4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4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45894</xdr:colOff>
      <xdr:row>3</xdr:row>
      <xdr:rowOff>249176</xdr:rowOff>
    </xdr:from>
    <xdr:to>
      <xdr:col>10</xdr:col>
      <xdr:colOff>419100</xdr:colOff>
      <xdr:row>3</xdr:row>
      <xdr:rowOff>294895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B92A9D-E3C5-49CD-ADF4-F95CD8EB15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V="1">
          <a:off x="45894" y="839726"/>
          <a:ext cx="11346006" cy="45719"/>
        </a:xfrm>
        <a:prstGeom prst="rect">
          <a:avLst/>
        </a:prstGeom>
        <a:ln w="1270">
          <a:noFill/>
        </a:ln>
      </xdr:spPr>
    </xdr:pic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0</xdr:colOff>
      <xdr:row>59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590FE2D-17A6-4BB0-B5FF-3429AFDE68C5}"/>
            </a:ext>
          </a:extLst>
        </xdr:cNvPr>
        <xdr:cNvSpPr txBox="1"/>
      </xdr:nvSpPr>
      <xdr:spPr>
        <a:xfrm>
          <a:off x="0" y="12001500"/>
          <a:ext cx="115824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en-US" sz="600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3</xdr:col>
      <xdr:colOff>152400</xdr:colOff>
      <xdr:row>3</xdr:row>
      <xdr:rowOff>447674</xdr:rowOff>
    </xdr:from>
    <xdr:to>
      <xdr:col>10</xdr:col>
      <xdr:colOff>428625</xdr:colOff>
      <xdr:row>12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175D83F-261B-4119-922A-701B0FFDE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174401</xdr:colOff>
      <xdr:row>0</xdr:row>
      <xdr:rowOff>49503</xdr:rowOff>
    </xdr:from>
    <xdr:to>
      <xdr:col>2</xdr:col>
      <xdr:colOff>254075</xdr:colOff>
      <xdr:row>3</xdr:row>
      <xdr:rowOff>315314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6BDB5B-369A-4A27-B94C-3A7DF8AAA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4401" y="49503"/>
          <a:ext cx="2499024" cy="856361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45</xdr:row>
      <xdr:rowOff>28575</xdr:rowOff>
    </xdr:from>
    <xdr:to>
      <xdr:col>11</xdr:col>
      <xdr:colOff>19050</xdr:colOff>
      <xdr:row>56</xdr:row>
      <xdr:rowOff>65805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AF0023C-F480-43B4-B39C-5376426763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45894</xdr:colOff>
      <xdr:row>3</xdr:row>
      <xdr:rowOff>249176</xdr:rowOff>
    </xdr:from>
    <xdr:to>
      <xdr:col>10</xdr:col>
      <xdr:colOff>419100</xdr:colOff>
      <xdr:row>3</xdr:row>
      <xdr:rowOff>294895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02BF0D-1705-4D8E-86ED-CACF33931B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V="1">
          <a:off x="45894" y="954026"/>
          <a:ext cx="10622106" cy="45719"/>
        </a:xfrm>
        <a:prstGeom prst="rect">
          <a:avLst/>
        </a:prstGeom>
        <a:ln w="1270">
          <a:noFill/>
        </a:ln>
      </xdr:spPr>
    </xdr:pic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0</xdr:colOff>
      <xdr:row>59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1A12D6D-9DFC-425F-AD95-B68D0A24C3E0}"/>
            </a:ext>
          </a:extLst>
        </xdr:cNvPr>
        <xdr:cNvSpPr txBox="1"/>
      </xdr:nvSpPr>
      <xdr:spPr>
        <a:xfrm>
          <a:off x="0" y="11915775"/>
          <a:ext cx="108204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en-US" sz="600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3</xdr:col>
      <xdr:colOff>152400</xdr:colOff>
      <xdr:row>3</xdr:row>
      <xdr:rowOff>447674</xdr:rowOff>
    </xdr:from>
    <xdr:to>
      <xdr:col>10</xdr:col>
      <xdr:colOff>428625</xdr:colOff>
      <xdr:row>12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980173D-1B6A-4F19-B8B8-E35FC657F2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174401</xdr:colOff>
      <xdr:row>0</xdr:row>
      <xdr:rowOff>49503</xdr:rowOff>
    </xdr:from>
    <xdr:to>
      <xdr:col>2</xdr:col>
      <xdr:colOff>254075</xdr:colOff>
      <xdr:row>3</xdr:row>
      <xdr:rowOff>315314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763E37C-3619-4169-BF8B-6B8DA8C0E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4401" y="49503"/>
          <a:ext cx="2499024" cy="837311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45</xdr:row>
      <xdr:rowOff>28575</xdr:rowOff>
    </xdr:from>
    <xdr:to>
      <xdr:col>11</xdr:col>
      <xdr:colOff>19050</xdr:colOff>
      <xdr:row>56</xdr:row>
      <xdr:rowOff>65805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B4EE9B3-BDCA-4E83-B905-CA063E56C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45894</xdr:colOff>
      <xdr:row>3</xdr:row>
      <xdr:rowOff>249176</xdr:rowOff>
    </xdr:from>
    <xdr:to>
      <xdr:col>10</xdr:col>
      <xdr:colOff>419100</xdr:colOff>
      <xdr:row>3</xdr:row>
      <xdr:rowOff>294895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29988E-5716-4CB4-B238-C5686EF80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V="1">
          <a:off x="45894" y="839726"/>
          <a:ext cx="11346006" cy="45719"/>
        </a:xfrm>
        <a:prstGeom prst="rect">
          <a:avLst/>
        </a:prstGeom>
        <a:ln w="1270">
          <a:noFill/>
        </a:ln>
      </xdr:spPr>
    </xdr:pic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0</xdr:colOff>
      <xdr:row>59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9BBA3B4-19B5-435C-AF8F-8CB02E1458CA}"/>
            </a:ext>
          </a:extLst>
        </xdr:cNvPr>
        <xdr:cNvSpPr txBox="1"/>
      </xdr:nvSpPr>
      <xdr:spPr>
        <a:xfrm>
          <a:off x="0" y="12001500"/>
          <a:ext cx="115824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en-US" sz="600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3</xdr:col>
      <xdr:colOff>152400</xdr:colOff>
      <xdr:row>3</xdr:row>
      <xdr:rowOff>447674</xdr:rowOff>
    </xdr:from>
    <xdr:to>
      <xdr:col>10</xdr:col>
      <xdr:colOff>428625</xdr:colOff>
      <xdr:row>12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8D89A5-6FB6-410D-9CDB-7AE4544E29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174401</xdr:colOff>
      <xdr:row>0</xdr:row>
      <xdr:rowOff>49503</xdr:rowOff>
    </xdr:from>
    <xdr:to>
      <xdr:col>2</xdr:col>
      <xdr:colOff>254075</xdr:colOff>
      <xdr:row>3</xdr:row>
      <xdr:rowOff>315314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0AC4DA3-8C41-4186-8BAF-18A84CFCF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4401" y="49503"/>
          <a:ext cx="2499024" cy="856361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45</xdr:row>
      <xdr:rowOff>28575</xdr:rowOff>
    </xdr:from>
    <xdr:to>
      <xdr:col>11</xdr:col>
      <xdr:colOff>19050</xdr:colOff>
      <xdr:row>56</xdr:row>
      <xdr:rowOff>65805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17BFBFF-E9D0-4E64-9C18-98ABD51F3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45894</xdr:colOff>
      <xdr:row>3</xdr:row>
      <xdr:rowOff>249176</xdr:rowOff>
    </xdr:from>
    <xdr:to>
      <xdr:col>10</xdr:col>
      <xdr:colOff>419100</xdr:colOff>
      <xdr:row>3</xdr:row>
      <xdr:rowOff>294895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F34F87B-6C12-4347-AA69-4EF8B78D0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V="1">
          <a:off x="45894" y="839726"/>
          <a:ext cx="11346006" cy="45719"/>
        </a:xfrm>
        <a:prstGeom prst="rect">
          <a:avLst/>
        </a:prstGeom>
        <a:ln w="1270">
          <a:noFill/>
        </a:ln>
      </xdr:spPr>
    </xdr:pic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0</xdr:colOff>
      <xdr:row>59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286B62E-EF42-4AA9-9539-220D366C2EFE}"/>
            </a:ext>
          </a:extLst>
        </xdr:cNvPr>
        <xdr:cNvSpPr txBox="1"/>
      </xdr:nvSpPr>
      <xdr:spPr>
        <a:xfrm>
          <a:off x="0" y="12001500"/>
          <a:ext cx="115824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en-US" sz="600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3</xdr:col>
      <xdr:colOff>152400</xdr:colOff>
      <xdr:row>3</xdr:row>
      <xdr:rowOff>447674</xdr:rowOff>
    </xdr:from>
    <xdr:to>
      <xdr:col>10</xdr:col>
      <xdr:colOff>428625</xdr:colOff>
      <xdr:row>12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FE9FE7-7612-40BE-9ED9-5FC68CCB1B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174401</xdr:colOff>
      <xdr:row>0</xdr:row>
      <xdr:rowOff>49503</xdr:rowOff>
    </xdr:from>
    <xdr:to>
      <xdr:col>2</xdr:col>
      <xdr:colOff>254075</xdr:colOff>
      <xdr:row>3</xdr:row>
      <xdr:rowOff>315314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C8D2751-3BE5-4D50-B652-D360CADD1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4401" y="49503"/>
          <a:ext cx="2499024" cy="856361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45</xdr:row>
      <xdr:rowOff>28575</xdr:rowOff>
    </xdr:from>
    <xdr:to>
      <xdr:col>11</xdr:col>
      <xdr:colOff>19050</xdr:colOff>
      <xdr:row>56</xdr:row>
      <xdr:rowOff>65805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DD47CCF-CF92-4ADD-BF5E-70AE151B21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45894</xdr:colOff>
      <xdr:row>3</xdr:row>
      <xdr:rowOff>249176</xdr:rowOff>
    </xdr:from>
    <xdr:to>
      <xdr:col>10</xdr:col>
      <xdr:colOff>419100</xdr:colOff>
      <xdr:row>3</xdr:row>
      <xdr:rowOff>294895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EC64E6A-9960-41BD-8318-63C5140E5F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V="1">
          <a:off x="45894" y="839726"/>
          <a:ext cx="11346006" cy="45719"/>
        </a:xfrm>
        <a:prstGeom prst="rect">
          <a:avLst/>
        </a:prstGeom>
        <a:ln w="1270">
          <a:noFill/>
        </a:ln>
      </xdr:spPr>
    </xdr:pic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0</xdr:colOff>
      <xdr:row>59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ADAB001-2E98-4119-8DB4-457B6983480C}"/>
            </a:ext>
          </a:extLst>
        </xdr:cNvPr>
        <xdr:cNvSpPr txBox="1"/>
      </xdr:nvSpPr>
      <xdr:spPr>
        <a:xfrm>
          <a:off x="0" y="12001500"/>
          <a:ext cx="115824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en-US" sz="600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3</xdr:col>
      <xdr:colOff>152400</xdr:colOff>
      <xdr:row>3</xdr:row>
      <xdr:rowOff>447674</xdr:rowOff>
    </xdr:from>
    <xdr:to>
      <xdr:col>10</xdr:col>
      <xdr:colOff>428625</xdr:colOff>
      <xdr:row>12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0BE94EB-AA90-4078-9934-845D1B491E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174401</xdr:colOff>
      <xdr:row>0</xdr:row>
      <xdr:rowOff>49503</xdr:rowOff>
    </xdr:from>
    <xdr:to>
      <xdr:col>2</xdr:col>
      <xdr:colOff>254075</xdr:colOff>
      <xdr:row>3</xdr:row>
      <xdr:rowOff>315314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94BCCC-3210-45F0-B951-60B8E0A5A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4401" y="49503"/>
          <a:ext cx="2499024" cy="856361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45</xdr:row>
      <xdr:rowOff>28575</xdr:rowOff>
    </xdr:from>
    <xdr:to>
      <xdr:col>11</xdr:col>
      <xdr:colOff>19050</xdr:colOff>
      <xdr:row>56</xdr:row>
      <xdr:rowOff>65805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853492B-0288-45D5-ADB7-0A96D37327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45894</xdr:colOff>
      <xdr:row>3</xdr:row>
      <xdr:rowOff>249176</xdr:rowOff>
    </xdr:from>
    <xdr:to>
      <xdr:col>10</xdr:col>
      <xdr:colOff>419100</xdr:colOff>
      <xdr:row>3</xdr:row>
      <xdr:rowOff>294895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C4DDA90-285C-40EA-9BC5-7A851C9AF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V="1">
          <a:off x="45894" y="839726"/>
          <a:ext cx="11346006" cy="45719"/>
        </a:xfrm>
        <a:prstGeom prst="rect">
          <a:avLst/>
        </a:prstGeom>
        <a:ln w="1270">
          <a:noFill/>
        </a:ln>
      </xdr:spPr>
    </xdr:pic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0</xdr:colOff>
      <xdr:row>59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8DA015D-9D7A-4579-BC00-C1AF4CC28E59}"/>
            </a:ext>
          </a:extLst>
        </xdr:cNvPr>
        <xdr:cNvSpPr txBox="1"/>
      </xdr:nvSpPr>
      <xdr:spPr>
        <a:xfrm>
          <a:off x="0" y="12001500"/>
          <a:ext cx="115824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en-US" sz="600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3</xdr:col>
      <xdr:colOff>152400</xdr:colOff>
      <xdr:row>3</xdr:row>
      <xdr:rowOff>447674</xdr:rowOff>
    </xdr:from>
    <xdr:to>
      <xdr:col>10</xdr:col>
      <xdr:colOff>428625</xdr:colOff>
      <xdr:row>12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1FB9E33-1FCC-48FD-8CB5-0E82441FE1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174401</xdr:colOff>
      <xdr:row>0</xdr:row>
      <xdr:rowOff>49503</xdr:rowOff>
    </xdr:from>
    <xdr:to>
      <xdr:col>2</xdr:col>
      <xdr:colOff>254075</xdr:colOff>
      <xdr:row>3</xdr:row>
      <xdr:rowOff>315314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112F74-E49D-4577-983B-4BCF930CD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4401" y="49503"/>
          <a:ext cx="2499024" cy="856361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45</xdr:row>
      <xdr:rowOff>28575</xdr:rowOff>
    </xdr:from>
    <xdr:to>
      <xdr:col>11</xdr:col>
      <xdr:colOff>19050</xdr:colOff>
      <xdr:row>56</xdr:row>
      <xdr:rowOff>65805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613A017-5125-4C32-815C-E3956FC279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45894</xdr:colOff>
      <xdr:row>3</xdr:row>
      <xdr:rowOff>249176</xdr:rowOff>
    </xdr:from>
    <xdr:to>
      <xdr:col>10</xdr:col>
      <xdr:colOff>419100</xdr:colOff>
      <xdr:row>3</xdr:row>
      <xdr:rowOff>294895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38C2B1A-5543-4593-81C7-EFD1033E4C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V="1">
          <a:off x="45894" y="839726"/>
          <a:ext cx="11346006" cy="45719"/>
        </a:xfrm>
        <a:prstGeom prst="rect">
          <a:avLst/>
        </a:prstGeom>
        <a:ln w="1270">
          <a:noFill/>
        </a:ln>
      </xdr:spPr>
    </xdr:pic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0</xdr:colOff>
      <xdr:row>59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BD7C0B1-29CA-42D4-9DAD-7EBC755DD609}"/>
            </a:ext>
          </a:extLst>
        </xdr:cNvPr>
        <xdr:cNvSpPr txBox="1"/>
      </xdr:nvSpPr>
      <xdr:spPr>
        <a:xfrm>
          <a:off x="0" y="12001500"/>
          <a:ext cx="115824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en-US" sz="600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3</xdr:col>
      <xdr:colOff>152400</xdr:colOff>
      <xdr:row>3</xdr:row>
      <xdr:rowOff>447674</xdr:rowOff>
    </xdr:from>
    <xdr:to>
      <xdr:col>10</xdr:col>
      <xdr:colOff>428625</xdr:colOff>
      <xdr:row>12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C3B819-0697-4050-B5E8-7D450B3FEF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174401</xdr:colOff>
      <xdr:row>0</xdr:row>
      <xdr:rowOff>49503</xdr:rowOff>
    </xdr:from>
    <xdr:to>
      <xdr:col>2</xdr:col>
      <xdr:colOff>254075</xdr:colOff>
      <xdr:row>3</xdr:row>
      <xdr:rowOff>315314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C55592-AFE8-46EA-8B30-4DDE40A3A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4401" y="49503"/>
          <a:ext cx="2499024" cy="856361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45</xdr:row>
      <xdr:rowOff>28575</xdr:rowOff>
    </xdr:from>
    <xdr:to>
      <xdr:col>11</xdr:col>
      <xdr:colOff>19050</xdr:colOff>
      <xdr:row>56</xdr:row>
      <xdr:rowOff>65805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6F893C1-1B10-44B4-A2BF-9A46969EBC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45894</xdr:colOff>
      <xdr:row>3</xdr:row>
      <xdr:rowOff>249176</xdr:rowOff>
    </xdr:from>
    <xdr:to>
      <xdr:col>10</xdr:col>
      <xdr:colOff>419100</xdr:colOff>
      <xdr:row>3</xdr:row>
      <xdr:rowOff>294895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C1B79B-75FB-4E61-B9ED-5C7C18111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V="1">
          <a:off x="45894" y="839726"/>
          <a:ext cx="11346006" cy="45719"/>
        </a:xfrm>
        <a:prstGeom prst="rect">
          <a:avLst/>
        </a:prstGeom>
        <a:ln w="1270">
          <a:noFill/>
        </a:ln>
      </xdr:spPr>
    </xdr:pic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0</xdr:colOff>
      <xdr:row>59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2894954-0944-4D84-BB7D-7FC4321E203C}"/>
            </a:ext>
          </a:extLst>
        </xdr:cNvPr>
        <xdr:cNvSpPr txBox="1"/>
      </xdr:nvSpPr>
      <xdr:spPr>
        <a:xfrm>
          <a:off x="0" y="12001500"/>
          <a:ext cx="115824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en-US" sz="600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3</xdr:col>
      <xdr:colOff>152400</xdr:colOff>
      <xdr:row>3</xdr:row>
      <xdr:rowOff>447674</xdr:rowOff>
    </xdr:from>
    <xdr:to>
      <xdr:col>10</xdr:col>
      <xdr:colOff>428625</xdr:colOff>
      <xdr:row>12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45B65F3-18DC-4AEB-BA95-DD8B0ED17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174401</xdr:colOff>
      <xdr:row>0</xdr:row>
      <xdr:rowOff>49503</xdr:rowOff>
    </xdr:from>
    <xdr:to>
      <xdr:col>2</xdr:col>
      <xdr:colOff>254075</xdr:colOff>
      <xdr:row>3</xdr:row>
      <xdr:rowOff>315314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960572D-61F8-4BDC-B7B1-D85D45F42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4401" y="49503"/>
          <a:ext cx="2499024" cy="856361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45</xdr:row>
      <xdr:rowOff>28575</xdr:rowOff>
    </xdr:from>
    <xdr:to>
      <xdr:col>11</xdr:col>
      <xdr:colOff>19050</xdr:colOff>
      <xdr:row>56</xdr:row>
      <xdr:rowOff>65805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B92A64F-9990-4F45-AEA8-1C2907268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45894</xdr:colOff>
      <xdr:row>3</xdr:row>
      <xdr:rowOff>249176</xdr:rowOff>
    </xdr:from>
    <xdr:to>
      <xdr:col>10</xdr:col>
      <xdr:colOff>419100</xdr:colOff>
      <xdr:row>3</xdr:row>
      <xdr:rowOff>294895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EEE11E-FC5C-44A7-9D3F-237BDE032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V="1">
          <a:off x="45894" y="839726"/>
          <a:ext cx="11346006" cy="45719"/>
        </a:xfrm>
        <a:prstGeom prst="rect">
          <a:avLst/>
        </a:prstGeom>
        <a:ln w="1270">
          <a:noFill/>
        </a:ln>
      </xdr:spPr>
    </xdr:pic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0</xdr:colOff>
      <xdr:row>59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1199FE2-499A-4485-BC7C-9E48C30BCA54}"/>
            </a:ext>
          </a:extLst>
        </xdr:cNvPr>
        <xdr:cNvSpPr txBox="1"/>
      </xdr:nvSpPr>
      <xdr:spPr>
        <a:xfrm>
          <a:off x="0" y="12001500"/>
          <a:ext cx="115824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en-US" sz="600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3</xdr:col>
      <xdr:colOff>152400</xdr:colOff>
      <xdr:row>3</xdr:row>
      <xdr:rowOff>447674</xdr:rowOff>
    </xdr:from>
    <xdr:to>
      <xdr:col>10</xdr:col>
      <xdr:colOff>428625</xdr:colOff>
      <xdr:row>12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970AB9-D79D-4AF6-BFD1-D9C4F002D2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174401</xdr:colOff>
      <xdr:row>0</xdr:row>
      <xdr:rowOff>49503</xdr:rowOff>
    </xdr:from>
    <xdr:to>
      <xdr:col>2</xdr:col>
      <xdr:colOff>254075</xdr:colOff>
      <xdr:row>3</xdr:row>
      <xdr:rowOff>315314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80B6BF8-C740-45A5-817C-DFFD9DE1B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4401" y="49503"/>
          <a:ext cx="2499024" cy="856361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45</xdr:row>
      <xdr:rowOff>28575</xdr:rowOff>
    </xdr:from>
    <xdr:to>
      <xdr:col>11</xdr:col>
      <xdr:colOff>19050</xdr:colOff>
      <xdr:row>56</xdr:row>
      <xdr:rowOff>65805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CA43F2C-3BA2-4D9B-AC73-2A1411A9D5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E57BA-4126-44D7-BEA0-9CBFC5BB4C9A}">
  <sheetPr codeName="Sheet2"/>
  <dimension ref="A1:AA61"/>
  <sheetViews>
    <sheetView zoomScale="130" zoomScaleNormal="130" workbookViewId="0">
      <selection activeCell="L23" sqref="L23"/>
    </sheetView>
  </sheetViews>
  <sheetFormatPr defaultRowHeight="15" x14ac:dyDescent="0.25"/>
  <cols>
    <col min="1" max="1" width="16.7109375" style="5" customWidth="1"/>
    <col min="2" max="2" width="19.5703125" style="5" customWidth="1"/>
    <col min="3" max="3" width="15.140625" style="5" customWidth="1"/>
    <col min="4" max="4" width="13.28515625" style="5" customWidth="1"/>
    <col min="5" max="5" width="12.5703125" style="5" customWidth="1"/>
    <col min="6" max="6" width="21.42578125" style="5" customWidth="1"/>
    <col min="7" max="7" width="38.42578125" style="5" customWidth="1"/>
    <col min="8" max="12" width="9.140625" style="5"/>
    <col min="28" max="16384" width="9.140625" style="5"/>
  </cols>
  <sheetData>
    <row r="1" spans="1:19" ht="15.75" x14ac:dyDescent="0.25">
      <c r="A1" s="3"/>
      <c r="B1" s="4"/>
      <c r="C1" s="4"/>
      <c r="D1" s="3"/>
      <c r="E1" s="2"/>
      <c r="F1" s="2" t="s">
        <v>60</v>
      </c>
      <c r="G1" s="4"/>
      <c r="H1" s="4"/>
      <c r="I1" s="4"/>
      <c r="J1" s="4"/>
      <c r="K1" s="4"/>
    </row>
    <row r="2" spans="1:19" ht="15.75" x14ac:dyDescent="0.25">
      <c r="A2" s="4"/>
      <c r="B2" s="4"/>
      <c r="C2" s="4"/>
      <c r="D2" s="3"/>
      <c r="E2" s="6"/>
      <c r="F2" s="2" t="s">
        <v>61</v>
      </c>
      <c r="G2" s="3"/>
      <c r="H2" s="3"/>
      <c r="I2" s="4"/>
      <c r="J2" s="4"/>
      <c r="K2" s="4"/>
    </row>
    <row r="3" spans="1:19" x14ac:dyDescent="0.25">
      <c r="A3" s="8"/>
      <c r="B3" s="8"/>
      <c r="C3" s="9"/>
      <c r="D3" s="10"/>
      <c r="E3" s="11"/>
      <c r="F3" s="2" t="s">
        <v>62</v>
      </c>
      <c r="G3" s="9"/>
      <c r="H3" s="9"/>
      <c r="I3" s="9"/>
      <c r="J3" s="9"/>
      <c r="K3" s="9"/>
    </row>
    <row r="4" spans="1:19" ht="33" customHeight="1" x14ac:dyDescent="0.25">
      <c r="A4" s="8"/>
      <c r="B4" s="8"/>
      <c r="C4" s="8"/>
      <c r="D4" s="10"/>
      <c r="E4" s="12"/>
      <c r="F4" s="12" t="str">
        <f ca="1">IF(COUNTA(B28:B31)=0, "Reporting Period: " &amp; YEAR(TODAY()),
    IF(COUNTA(B28:B31)=1, "Reporting Period: January - March " &amp; YEAR(TODAY()),
    IF(COUNTA(B28:B31)=2, "Reporting Period: April - June " &amp; YEAR(TODAY()),
    IF(COUNTA(B28:B31)=3, "Reporting Period: July - September " &amp; YEAR(TODAY()),
    "Reporting Period: October - December " &amp; YEAR(TODAY())))))</f>
        <v>Reporting Period: 2024</v>
      </c>
      <c r="G4" s="13"/>
      <c r="H4" s="13"/>
      <c r="I4" s="13"/>
      <c r="J4" s="13"/>
      <c r="K4" s="13"/>
    </row>
    <row r="5" spans="1:19" x14ac:dyDescent="0.25">
      <c r="A5" s="80" t="s">
        <v>1</v>
      </c>
      <c r="B5" s="81"/>
      <c r="C5" s="82"/>
      <c r="D5" s="14"/>
      <c r="E5" s="14"/>
      <c r="F5" s="8"/>
      <c r="G5" s="15"/>
      <c r="H5" s="15"/>
      <c r="I5" s="88"/>
      <c r="J5" s="88"/>
      <c r="K5" s="88"/>
    </row>
    <row r="6" spans="1:19" x14ac:dyDescent="0.25">
      <c r="A6" s="16"/>
      <c r="B6" s="17" t="s">
        <v>2</v>
      </c>
      <c r="C6" s="18">
        <v>5.8</v>
      </c>
      <c r="D6" s="19"/>
      <c r="E6" s="19"/>
      <c r="F6" s="8"/>
      <c r="G6" s="15"/>
      <c r="H6" s="15"/>
      <c r="I6" s="88"/>
      <c r="J6" s="88"/>
      <c r="K6" s="88"/>
    </row>
    <row r="7" spans="1:19" x14ac:dyDescent="0.25">
      <c r="A7" s="16"/>
      <c r="B7" s="17" t="s">
        <v>3</v>
      </c>
      <c r="C7" s="18">
        <v>3</v>
      </c>
      <c r="D7" s="19"/>
      <c r="E7" s="19"/>
      <c r="F7" s="8"/>
      <c r="G7" s="15"/>
      <c r="H7" s="15"/>
      <c r="I7" s="88"/>
      <c r="J7" s="88"/>
      <c r="K7" s="88"/>
    </row>
    <row r="8" spans="1:19" x14ac:dyDescent="0.25">
      <c r="A8" s="16"/>
      <c r="B8" s="17" t="s">
        <v>4</v>
      </c>
      <c r="C8" s="20">
        <v>24</v>
      </c>
      <c r="D8" s="21"/>
      <c r="E8" s="21"/>
      <c r="F8" s="8"/>
      <c r="G8" s="15"/>
      <c r="H8" s="8"/>
      <c r="I8" s="8"/>
      <c r="J8" s="8"/>
      <c r="K8" s="8"/>
    </row>
    <row r="9" spans="1:19" x14ac:dyDescent="0.25">
      <c r="A9" s="16"/>
      <c r="B9" s="17" t="s">
        <v>5</v>
      </c>
      <c r="C9" s="22">
        <v>12768</v>
      </c>
      <c r="D9" s="21"/>
      <c r="E9" s="21"/>
      <c r="F9" s="8"/>
      <c r="G9" s="15"/>
      <c r="H9" s="8"/>
      <c r="I9" s="8"/>
      <c r="J9" s="8"/>
      <c r="K9" s="8"/>
    </row>
    <row r="10" spans="1:19" x14ac:dyDescent="0.25">
      <c r="A10" s="16"/>
      <c r="B10" s="17" t="s">
        <v>6</v>
      </c>
      <c r="C10" s="20">
        <v>2</v>
      </c>
      <c r="D10" s="21"/>
      <c r="E10" s="21"/>
      <c r="F10" s="8"/>
      <c r="G10" s="15"/>
      <c r="H10" s="8"/>
      <c r="I10" s="8"/>
      <c r="J10" s="8"/>
      <c r="K10" s="8"/>
    </row>
    <row r="11" spans="1:19" x14ac:dyDescent="0.25">
      <c r="A11" s="16"/>
      <c r="B11" s="17" t="s">
        <v>7</v>
      </c>
      <c r="C11" s="20">
        <v>24</v>
      </c>
      <c r="D11" s="21"/>
      <c r="E11" s="21"/>
      <c r="F11" s="8"/>
      <c r="G11" s="15"/>
      <c r="H11" s="8"/>
      <c r="I11" s="8"/>
      <c r="J11" s="8"/>
      <c r="K11" s="8"/>
    </row>
    <row r="12" spans="1:19" x14ac:dyDescent="0.25">
      <c r="A12" s="23"/>
      <c r="B12" s="23"/>
      <c r="C12" s="24"/>
      <c r="D12" s="21"/>
      <c r="E12" s="21"/>
      <c r="F12" s="8"/>
      <c r="G12" s="8"/>
      <c r="H12" s="8"/>
      <c r="I12" s="8"/>
      <c r="J12" s="8"/>
      <c r="K12" s="8"/>
    </row>
    <row r="13" spans="1:19" x14ac:dyDescent="0.25">
      <c r="A13" s="25"/>
      <c r="B13" s="25"/>
      <c r="C13" s="26"/>
      <c r="D13" s="21"/>
      <c r="E13" s="21"/>
      <c r="F13" s="8"/>
      <c r="G13" s="8"/>
      <c r="H13" s="8"/>
      <c r="I13" s="8"/>
      <c r="J13" s="8"/>
      <c r="K13" s="8"/>
    </row>
    <row r="14" spans="1:19" x14ac:dyDescent="0.25">
      <c r="A14" s="89" t="s">
        <v>8</v>
      </c>
      <c r="B14" s="89"/>
      <c r="C14" s="89"/>
      <c r="D14" s="89"/>
      <c r="E14" s="89"/>
      <c r="F14" s="89"/>
      <c r="G14" s="8"/>
      <c r="H14" s="8"/>
      <c r="I14" s="8"/>
      <c r="J14" s="8"/>
      <c r="K14" s="8"/>
      <c r="L14" s="8"/>
      <c r="M14" s="66"/>
      <c r="N14" s="66"/>
      <c r="O14" s="66"/>
      <c r="P14" s="66"/>
      <c r="Q14" s="66"/>
      <c r="R14" s="66"/>
      <c r="S14" s="66"/>
    </row>
    <row r="15" spans="1:19" ht="16.5" x14ac:dyDescent="0.25">
      <c r="A15" s="60" t="s">
        <v>9</v>
      </c>
      <c r="B15" s="60" t="s">
        <v>10</v>
      </c>
      <c r="C15" s="60" t="s">
        <v>11</v>
      </c>
      <c r="D15" s="60" t="s">
        <v>12</v>
      </c>
      <c r="E15" s="60" t="s">
        <v>13</v>
      </c>
      <c r="F15" s="60" t="s">
        <v>14</v>
      </c>
      <c r="G15" s="8"/>
      <c r="H15" s="8"/>
      <c r="I15" s="8"/>
      <c r="J15" s="8"/>
      <c r="K15" s="8"/>
      <c r="L15" s="8"/>
      <c r="M15" s="66"/>
      <c r="N15" s="67"/>
      <c r="O15" s="68"/>
      <c r="P15" s="66"/>
      <c r="Q15" s="66"/>
      <c r="R15" s="66"/>
      <c r="S15" s="66"/>
    </row>
    <row r="16" spans="1:19" x14ac:dyDescent="0.25">
      <c r="A16" s="29" t="s">
        <v>15</v>
      </c>
      <c r="B16" s="30"/>
      <c r="C16" s="30"/>
      <c r="D16" s="30"/>
      <c r="E16" s="30"/>
      <c r="F16" s="30"/>
      <c r="G16" s="8"/>
      <c r="H16" s="8"/>
      <c r="I16" s="8"/>
      <c r="J16" s="8"/>
      <c r="K16" s="8"/>
      <c r="L16" s="8"/>
      <c r="M16" s="66"/>
      <c r="N16" s="67"/>
      <c r="O16" s="68"/>
      <c r="P16" s="66"/>
      <c r="Q16" s="66"/>
      <c r="R16" s="66"/>
      <c r="S16" s="66"/>
    </row>
    <row r="17" spans="1:19" x14ac:dyDescent="0.25">
      <c r="A17" s="29" t="s">
        <v>16</v>
      </c>
      <c r="B17" s="30"/>
      <c r="C17" s="30"/>
      <c r="D17" s="30"/>
      <c r="E17" s="30"/>
      <c r="F17" s="30"/>
      <c r="G17" s="8"/>
      <c r="H17" s="8"/>
      <c r="I17" s="8"/>
      <c r="J17" s="8"/>
      <c r="K17" s="8"/>
      <c r="L17" s="8"/>
      <c r="M17" s="66"/>
      <c r="N17" s="67"/>
      <c r="O17" s="68"/>
      <c r="P17" s="66"/>
      <c r="Q17" s="66"/>
      <c r="R17" s="66"/>
      <c r="S17" s="66"/>
    </row>
    <row r="18" spans="1:19" x14ac:dyDescent="0.25">
      <c r="A18" s="29" t="s">
        <v>17</v>
      </c>
      <c r="B18" s="30"/>
      <c r="C18" s="30"/>
      <c r="D18" s="30"/>
      <c r="E18" s="30"/>
      <c r="F18" s="30"/>
      <c r="G18" s="8"/>
      <c r="H18" s="8"/>
      <c r="I18" s="8"/>
      <c r="J18" s="8"/>
      <c r="K18" s="8"/>
      <c r="L18" s="8"/>
      <c r="M18" s="66"/>
      <c r="N18" s="67"/>
      <c r="O18" s="68"/>
      <c r="P18" s="66"/>
      <c r="Q18" s="66"/>
      <c r="R18" s="66"/>
      <c r="S18" s="66"/>
    </row>
    <row r="19" spans="1:19" x14ac:dyDescent="0.25">
      <c r="A19" s="29" t="s">
        <v>18</v>
      </c>
      <c r="B19" s="30"/>
      <c r="C19" s="30"/>
      <c r="D19" s="30"/>
      <c r="E19" s="30"/>
      <c r="F19" s="30"/>
      <c r="G19" s="8"/>
      <c r="H19" s="8"/>
      <c r="I19" s="8"/>
      <c r="J19" s="8"/>
      <c r="K19" s="8"/>
      <c r="L19" s="8"/>
      <c r="M19" s="66"/>
      <c r="N19" s="67"/>
      <c r="O19" s="68"/>
      <c r="P19" s="66"/>
      <c r="Q19" s="66"/>
      <c r="R19" s="66"/>
      <c r="S19" s="66"/>
    </row>
    <row r="20" spans="1:19" x14ac:dyDescent="0.25">
      <c r="A20" s="31" t="s">
        <v>19</v>
      </c>
      <c r="B20" s="90"/>
      <c r="C20" s="90"/>
      <c r="D20" s="90"/>
      <c r="E20" s="90"/>
      <c r="F20" s="90"/>
      <c r="G20" s="8"/>
      <c r="H20" s="8"/>
      <c r="I20" s="8"/>
      <c r="J20" s="8"/>
      <c r="K20" s="8"/>
      <c r="L20" s="8"/>
      <c r="M20" s="66"/>
      <c r="N20" s="67"/>
      <c r="O20" s="68"/>
      <c r="P20" s="66"/>
      <c r="Q20" s="66"/>
      <c r="R20" s="66"/>
      <c r="S20" s="66"/>
    </row>
    <row r="21" spans="1:19" x14ac:dyDescent="0.25">
      <c r="A21" s="32"/>
      <c r="B21" s="32"/>
      <c r="C21" s="33"/>
      <c r="D21" s="34"/>
      <c r="E21" s="34"/>
      <c r="F21" s="8"/>
      <c r="G21" s="8"/>
      <c r="H21" s="8"/>
      <c r="I21" s="8"/>
      <c r="J21" s="8"/>
      <c r="K21" s="8"/>
      <c r="L21" s="8"/>
      <c r="M21" s="66"/>
      <c r="N21" s="67"/>
      <c r="O21" s="68"/>
      <c r="P21" s="66"/>
      <c r="Q21" s="66"/>
      <c r="R21" s="66"/>
      <c r="S21" s="66"/>
    </row>
    <row r="22" spans="1:19" x14ac:dyDescent="0.25">
      <c r="A22" s="80" t="s">
        <v>20</v>
      </c>
      <c r="B22" s="81"/>
      <c r="C22" s="81"/>
      <c r="D22" s="81"/>
      <c r="E22" s="81"/>
      <c r="F22" s="81"/>
      <c r="G22" s="81"/>
      <c r="H22" s="82"/>
      <c r="I22" s="8"/>
      <c r="J22" s="8"/>
      <c r="K22" s="27"/>
      <c r="L22" s="28"/>
      <c r="M22" s="66"/>
      <c r="N22" s="66"/>
      <c r="O22" s="66"/>
      <c r="P22" s="66"/>
      <c r="Q22" s="66"/>
      <c r="R22" s="66"/>
      <c r="S22" s="66"/>
    </row>
    <row r="23" spans="1:19" ht="56.25" x14ac:dyDescent="0.25">
      <c r="A23" s="61" t="s">
        <v>21</v>
      </c>
      <c r="B23" s="61" t="s">
        <v>22</v>
      </c>
      <c r="C23" s="61" t="s">
        <v>23</v>
      </c>
      <c r="D23" s="61" t="s">
        <v>24</v>
      </c>
      <c r="E23" s="61" t="s">
        <v>25</v>
      </c>
      <c r="F23" s="61" t="s">
        <v>26</v>
      </c>
      <c r="G23" s="61" t="s">
        <v>27</v>
      </c>
      <c r="H23" s="61" t="s">
        <v>28</v>
      </c>
      <c r="I23" s="8"/>
      <c r="J23" s="8"/>
      <c r="K23" s="27"/>
      <c r="L23" s="28"/>
      <c r="M23" s="66"/>
      <c r="N23" s="66"/>
      <c r="O23" s="66"/>
      <c r="P23" s="66"/>
      <c r="Q23" s="66"/>
      <c r="R23" s="66"/>
      <c r="S23" s="66"/>
    </row>
    <row r="24" spans="1:19" x14ac:dyDescent="0.25">
      <c r="A24" s="35" t="e" cm="1">
        <f t="array" ref="A24">LOOKUP(2,1/(H28:H31&lt;&gt;""),H28:H31)</f>
        <v>#N/A</v>
      </c>
      <c r="B24" s="35" t="e" cm="1">
        <f t="array" ref="B24">LOOKUP(2,1/(I28:I31&lt;&gt;""),I28:I31)</f>
        <v>#N/A</v>
      </c>
      <c r="C24" s="35" t="e" cm="1">
        <f t="array" ref="C24">LOOKUP(2,1/(J28:J31&lt;&gt;""),J28:J31)</f>
        <v>#N/A</v>
      </c>
      <c r="D24" s="35" t="e" cm="1">
        <f t="array" ref="D24">LOOKUP(2,1/(K28:K31&lt;&gt;""),K28:K31)</f>
        <v>#N/A</v>
      </c>
      <c r="E24" s="36">
        <v>1</v>
      </c>
      <c r="F24" s="36">
        <v>1</v>
      </c>
      <c r="G24" s="37">
        <v>0</v>
      </c>
      <c r="H24" s="37">
        <v>0</v>
      </c>
      <c r="I24" s="8"/>
      <c r="J24" s="8"/>
      <c r="K24" s="27"/>
      <c r="L24" s="28"/>
      <c r="M24" s="66"/>
      <c r="N24" s="66"/>
      <c r="O24" s="66"/>
      <c r="P24" s="66"/>
      <c r="Q24" s="66"/>
      <c r="R24" s="66"/>
      <c r="S24" s="66"/>
    </row>
    <row r="25" spans="1:19" x14ac:dyDescent="0.25">
      <c r="G25" s="8"/>
      <c r="H25" s="8"/>
      <c r="I25" s="8"/>
      <c r="J25" s="8"/>
      <c r="K25" s="8"/>
      <c r="L25" s="8"/>
      <c r="M25" s="66"/>
      <c r="N25" s="67"/>
      <c r="O25" s="68"/>
      <c r="P25" s="66"/>
      <c r="Q25" s="66"/>
      <c r="R25" s="66"/>
      <c r="S25" s="66"/>
    </row>
    <row r="26" spans="1:19" x14ac:dyDescent="0.25">
      <c r="A26" s="83" t="s">
        <v>29</v>
      </c>
      <c r="B26" s="84"/>
      <c r="C26" s="84"/>
      <c r="D26" s="84"/>
      <c r="E26" s="84"/>
      <c r="F26" s="84"/>
      <c r="G26" s="84"/>
      <c r="H26" s="84"/>
      <c r="I26" s="84"/>
      <c r="J26" s="84"/>
      <c r="K26" s="85"/>
      <c r="L26" s="8"/>
      <c r="M26" s="66"/>
      <c r="N26" s="69" t="str">
        <f>I27</f>
        <v>Performance Index (%)</v>
      </c>
      <c r="O26" s="68"/>
      <c r="P26" s="66"/>
      <c r="Q26" s="66"/>
      <c r="R26" s="66"/>
      <c r="S26" s="66"/>
    </row>
    <row r="27" spans="1:19" ht="24.75" x14ac:dyDescent="0.25">
      <c r="A27" s="60" t="s">
        <v>30</v>
      </c>
      <c r="B27" s="60" t="s">
        <v>31</v>
      </c>
      <c r="C27" s="60" t="s">
        <v>32</v>
      </c>
      <c r="D27" s="60" t="s">
        <v>33</v>
      </c>
      <c r="E27" s="60" t="s">
        <v>34</v>
      </c>
      <c r="F27" s="60" t="s">
        <v>35</v>
      </c>
      <c r="G27" s="60" t="s">
        <v>36</v>
      </c>
      <c r="H27" s="60" t="s">
        <v>21</v>
      </c>
      <c r="I27" s="60" t="s">
        <v>22</v>
      </c>
      <c r="J27" s="60" t="s">
        <v>23</v>
      </c>
      <c r="K27" s="60" t="s">
        <v>24</v>
      </c>
      <c r="L27" s="8"/>
      <c r="M27" s="70"/>
      <c r="N27" s="70" t="s">
        <v>0</v>
      </c>
      <c r="O27" s="70" t="s">
        <v>37</v>
      </c>
      <c r="P27" s="66"/>
      <c r="Q27" s="66"/>
      <c r="R27" s="66"/>
      <c r="S27" s="66"/>
    </row>
    <row r="28" spans="1:19" x14ac:dyDescent="0.25">
      <c r="A28" s="29" t="s">
        <v>15</v>
      </c>
      <c r="B28" s="38"/>
      <c r="C28" s="39"/>
      <c r="D28" s="39" t="str">
        <f>IF(B28="","",J28*C28)</f>
        <v/>
      </c>
      <c r="E28" s="39"/>
      <c r="F28" s="39" t="str">
        <f>IF(E28="", "", 417757)</f>
        <v/>
      </c>
      <c r="G28" s="39" t="str">
        <f>IF(B28="","",D29-B28)</f>
        <v/>
      </c>
      <c r="H28" s="40" t="str">
        <f>IF(B28="","",B28/C28)</f>
        <v/>
      </c>
      <c r="I28" s="40" t="str">
        <f>IF(B28="","",B28/D29)</f>
        <v/>
      </c>
      <c r="J28" s="40" t="str">
        <f>IF(B28="","",E28/F28)</f>
        <v/>
      </c>
      <c r="K28" s="40"/>
      <c r="L28" s="8"/>
      <c r="M28" s="70" t="str">
        <f>A28</f>
        <v>Q1</v>
      </c>
      <c r="N28" s="71" t="e">
        <f>IF(I28="",NA(),I28)</f>
        <v>#N/A</v>
      </c>
      <c r="O28" s="72" t="e">
        <f>IF(OR(I28="",I28=0),NA(),AVERAGE(I$28:I28))</f>
        <v>#N/A</v>
      </c>
      <c r="P28" s="66">
        <v>1</v>
      </c>
      <c r="Q28" s="66">
        <v>3</v>
      </c>
      <c r="R28" s="66"/>
      <c r="S28" s="66"/>
    </row>
    <row r="29" spans="1:19" x14ac:dyDescent="0.25">
      <c r="A29" s="29" t="s">
        <v>16</v>
      </c>
      <c r="B29" s="39"/>
      <c r="C29" s="39"/>
      <c r="D29" s="39" t="str">
        <f t="shared" ref="D29:D31" si="0">IF(B29="","",J29*C29)</f>
        <v/>
      </c>
      <c r="E29" s="39"/>
      <c r="F29" s="39" t="str">
        <f>IF(E29="", "", 702666)</f>
        <v/>
      </c>
      <c r="G29" s="39" t="str">
        <f>IF(B29="","",#REF!-B29)</f>
        <v/>
      </c>
      <c r="H29" s="40" t="str">
        <f t="shared" ref="H29:H31" si="1">IF(B29="","",B29/C29)</f>
        <v/>
      </c>
      <c r="I29" s="40" t="str">
        <f>IF(B29="","",B29/#REF!)</f>
        <v/>
      </c>
      <c r="J29" s="40" t="str">
        <f t="shared" ref="J29:J31" si="2">IF(B29="","",E29/F29)</f>
        <v/>
      </c>
      <c r="K29" s="40"/>
      <c r="L29" s="8"/>
      <c r="M29" s="70" t="str">
        <f t="shared" ref="M29:M31" si="3">A29</f>
        <v>Q2</v>
      </c>
      <c r="N29" s="71" t="e">
        <f t="shared" ref="N29:N31" si="4">IF(I29="",NA(),I29)</f>
        <v>#N/A</v>
      </c>
      <c r="O29" s="72" t="e">
        <f>IF(OR(I29="",I29=0),NA(),AVERAGE(I$28:I29))</f>
        <v>#N/A</v>
      </c>
      <c r="P29" s="66">
        <v>4</v>
      </c>
      <c r="Q29" s="66">
        <v>6</v>
      </c>
      <c r="R29" s="66"/>
      <c r="S29" s="66"/>
    </row>
    <row r="30" spans="1:19" x14ac:dyDescent="0.25">
      <c r="A30" s="29" t="s">
        <v>17</v>
      </c>
      <c r="B30" s="39"/>
      <c r="C30" s="39"/>
      <c r="D30" s="39" t="str">
        <f t="shared" si="0"/>
        <v/>
      </c>
      <c r="E30" s="39"/>
      <c r="F30" s="39" t="str">
        <f>IF(E30="", "", 640863)</f>
        <v/>
      </c>
      <c r="G30" s="39" t="str">
        <f t="shared" ref="G30:G31" si="5">IF(B30="","",D30-B30)</f>
        <v/>
      </c>
      <c r="H30" s="40" t="str">
        <f t="shared" si="1"/>
        <v/>
      </c>
      <c r="I30" s="40" t="str">
        <f t="shared" ref="I30:I31" si="6">IF(B30="","",B30/D30)</f>
        <v/>
      </c>
      <c r="J30" s="40" t="str">
        <f t="shared" si="2"/>
        <v/>
      </c>
      <c r="K30" s="41"/>
      <c r="L30" s="8"/>
      <c r="M30" s="70" t="str">
        <f t="shared" si="3"/>
        <v>Q3</v>
      </c>
      <c r="N30" s="71" t="e">
        <f t="shared" si="4"/>
        <v>#N/A</v>
      </c>
      <c r="O30" s="72" t="e">
        <f>IF(OR(I30="",I30=0),NA(),AVERAGE(I$28:I30))</f>
        <v>#N/A</v>
      </c>
      <c r="P30" s="66">
        <v>7</v>
      </c>
      <c r="Q30" s="66">
        <v>9</v>
      </c>
      <c r="R30" s="66"/>
      <c r="S30" s="66"/>
    </row>
    <row r="31" spans="1:19" x14ac:dyDescent="0.25">
      <c r="A31" s="29" t="s">
        <v>18</v>
      </c>
      <c r="B31" s="39"/>
      <c r="C31" s="39"/>
      <c r="D31" s="39" t="str">
        <f t="shared" si="0"/>
        <v/>
      </c>
      <c r="E31" s="39"/>
      <c r="F31" s="39" t="str">
        <f>IF(E31="", "", 367470)</f>
        <v/>
      </c>
      <c r="G31" s="39" t="str">
        <f t="shared" si="5"/>
        <v/>
      </c>
      <c r="H31" s="40" t="str">
        <f t="shared" si="1"/>
        <v/>
      </c>
      <c r="I31" s="40" t="str">
        <f t="shared" si="6"/>
        <v/>
      </c>
      <c r="J31" s="40" t="str">
        <f t="shared" si="2"/>
        <v/>
      </c>
      <c r="K31" s="41"/>
      <c r="L31" s="8"/>
      <c r="M31" s="70" t="str">
        <f t="shared" si="3"/>
        <v>Q4</v>
      </c>
      <c r="N31" s="71" t="e">
        <f t="shared" si="4"/>
        <v>#N/A</v>
      </c>
      <c r="O31" s="72" t="e">
        <f>IF(OR(I31="",I31=0),NA(),AVERAGE(I$28:I31))</f>
        <v>#N/A</v>
      </c>
      <c r="P31" s="66">
        <v>10</v>
      </c>
      <c r="Q31" s="66">
        <v>12</v>
      </c>
      <c r="R31" s="66"/>
      <c r="S31" s="66"/>
    </row>
    <row r="32" spans="1:19" x14ac:dyDescent="0.25">
      <c r="A32" s="63" t="s">
        <v>37</v>
      </c>
      <c r="B32" s="64">
        <f>SUM(B28:B31)</f>
        <v>0</v>
      </c>
      <c r="C32" s="64">
        <f t="shared" ref="C32:G32" si="7">SUM(C28:C31)</f>
        <v>0</v>
      </c>
      <c r="D32" s="64">
        <f>SUM(D29:D31)</f>
        <v>0</v>
      </c>
      <c r="E32" s="64">
        <f t="shared" si="7"/>
        <v>0</v>
      </c>
      <c r="F32" s="64">
        <f t="shared" si="7"/>
        <v>0</v>
      </c>
      <c r="G32" s="64">
        <f t="shared" si="7"/>
        <v>0</v>
      </c>
      <c r="H32" s="65" t="str">
        <f>IFERROR(AVERAGE(H28:H31),"")</f>
        <v/>
      </c>
      <c r="I32" s="65" t="str">
        <f t="shared" ref="I32:K32" si="8">IFERROR(AVERAGE(I28:I31),"")</f>
        <v/>
      </c>
      <c r="J32" s="65" t="str">
        <f t="shared" si="8"/>
        <v/>
      </c>
      <c r="K32" s="65" t="str">
        <f t="shared" si="8"/>
        <v/>
      </c>
      <c r="L32" s="8"/>
      <c r="M32" s="70"/>
      <c r="N32" s="70"/>
      <c r="O32" s="70"/>
      <c r="P32" s="66"/>
      <c r="Q32" s="66"/>
      <c r="R32" s="66"/>
      <c r="S32" s="66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8"/>
      <c r="M33" s="66"/>
      <c r="N33" s="66"/>
      <c r="O33" s="66"/>
      <c r="P33" s="66"/>
      <c r="Q33" s="66"/>
      <c r="R33" s="66"/>
      <c r="S33" s="66"/>
    </row>
    <row r="34" spans="1:19" x14ac:dyDescent="0.25">
      <c r="A34" s="86" t="s">
        <v>38</v>
      </c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"/>
      <c r="M34" s="66"/>
      <c r="N34" s="66"/>
      <c r="O34" s="66"/>
      <c r="P34" s="66"/>
      <c r="Q34" s="66"/>
      <c r="R34" s="66"/>
      <c r="S34" s="66"/>
    </row>
    <row r="35" spans="1:19" x14ac:dyDescent="0.25">
      <c r="A35" s="60" t="s">
        <v>39</v>
      </c>
      <c r="B35" s="60" t="s">
        <v>40</v>
      </c>
      <c r="C35" s="60" t="s">
        <v>41</v>
      </c>
      <c r="D35" s="60" t="s">
        <v>42</v>
      </c>
      <c r="E35" s="60" t="s">
        <v>43</v>
      </c>
      <c r="F35" s="60" t="s">
        <v>44</v>
      </c>
      <c r="G35" s="73" t="s">
        <v>45</v>
      </c>
      <c r="H35" s="73"/>
      <c r="I35" s="73"/>
      <c r="J35" s="73"/>
      <c r="K35" s="73"/>
      <c r="L35" s="8"/>
      <c r="M35" s="66"/>
      <c r="N35" s="66"/>
      <c r="O35" s="66"/>
      <c r="P35" s="66"/>
      <c r="Q35" s="66"/>
      <c r="R35" s="66"/>
      <c r="S35" s="66"/>
    </row>
    <row r="36" spans="1:19" x14ac:dyDescent="0.25">
      <c r="A36" s="42"/>
      <c r="B36" s="43"/>
      <c r="C36" s="44"/>
      <c r="D36" s="44"/>
      <c r="E36" s="45"/>
      <c r="F36" s="45"/>
      <c r="G36" s="87" t="s">
        <v>46</v>
      </c>
      <c r="H36" s="87"/>
      <c r="I36" s="87"/>
      <c r="J36" s="87"/>
      <c r="K36" s="87"/>
      <c r="L36" s="8"/>
      <c r="M36" s="66"/>
      <c r="N36" s="66"/>
      <c r="O36" s="66"/>
      <c r="P36" s="66"/>
      <c r="Q36" s="66"/>
      <c r="R36" s="66"/>
      <c r="S36" s="66"/>
    </row>
    <row r="37" spans="1:19" x14ac:dyDescent="0.25">
      <c r="A37" s="46"/>
      <c r="B37" s="46"/>
      <c r="C37" s="47"/>
      <c r="D37" s="48"/>
      <c r="E37" s="49"/>
      <c r="F37" s="50"/>
      <c r="G37" s="50"/>
      <c r="H37" s="50"/>
      <c r="I37" s="50"/>
      <c r="J37" s="50"/>
      <c r="K37" s="50"/>
      <c r="L37" s="8"/>
      <c r="M37" s="66"/>
      <c r="N37" s="66"/>
      <c r="O37" s="66"/>
      <c r="P37" s="66"/>
      <c r="Q37" s="66"/>
      <c r="R37" s="66"/>
      <c r="S37" s="66"/>
    </row>
    <row r="38" spans="1:19" x14ac:dyDescent="0.25">
      <c r="A38" s="86" t="s">
        <v>47</v>
      </c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"/>
      <c r="M38" s="66"/>
      <c r="N38" s="66"/>
      <c r="O38" s="66"/>
      <c r="P38" s="66"/>
      <c r="Q38" s="66"/>
      <c r="R38" s="66"/>
      <c r="S38" s="66"/>
    </row>
    <row r="39" spans="1:19" x14ac:dyDescent="0.25">
      <c r="A39" s="60" t="s">
        <v>39</v>
      </c>
      <c r="B39" s="60" t="s">
        <v>40</v>
      </c>
      <c r="C39" s="60" t="s">
        <v>48</v>
      </c>
      <c r="D39" s="60" t="s">
        <v>49</v>
      </c>
      <c r="E39" s="73" t="s">
        <v>44</v>
      </c>
      <c r="F39" s="73"/>
      <c r="G39" s="73"/>
      <c r="H39" s="73"/>
      <c r="I39" s="73"/>
      <c r="J39" s="73"/>
      <c r="K39" s="73"/>
      <c r="L39" s="8"/>
      <c r="M39" s="66"/>
      <c r="N39" s="66"/>
      <c r="O39" s="66"/>
      <c r="P39" s="66"/>
      <c r="Q39" s="66"/>
      <c r="R39" s="66"/>
      <c r="S39" s="66"/>
    </row>
    <row r="40" spans="1:19" x14ac:dyDescent="0.25">
      <c r="A40" s="42"/>
      <c r="B40" s="43"/>
      <c r="C40" s="44"/>
      <c r="D40" s="44"/>
      <c r="E40" s="74" t="s">
        <v>46</v>
      </c>
      <c r="F40" s="75"/>
      <c r="G40" s="75"/>
      <c r="H40" s="75"/>
      <c r="I40" s="75"/>
      <c r="J40" s="75"/>
      <c r="K40" s="76"/>
      <c r="L40" s="8"/>
      <c r="M40" s="66"/>
      <c r="N40" s="66"/>
      <c r="O40" s="66"/>
      <c r="P40" s="66"/>
      <c r="Q40" s="66"/>
      <c r="R40" s="66"/>
      <c r="S40" s="66"/>
    </row>
    <row r="41" spans="1:19" x14ac:dyDescent="0.25">
      <c r="A41" s="46"/>
      <c r="B41" s="46"/>
      <c r="C41" s="47"/>
      <c r="D41" s="48"/>
      <c r="E41" s="49"/>
      <c r="F41" s="50"/>
      <c r="G41" s="50"/>
      <c r="H41" s="50"/>
      <c r="I41" s="50"/>
      <c r="J41" s="50"/>
      <c r="K41" s="50"/>
      <c r="L41" s="8"/>
      <c r="M41" s="66"/>
      <c r="N41" s="66"/>
      <c r="O41" s="66"/>
      <c r="P41" s="66"/>
      <c r="Q41" s="66"/>
      <c r="R41" s="66"/>
      <c r="S41" s="66"/>
    </row>
    <row r="42" spans="1:19" x14ac:dyDescent="0.25">
      <c r="A42" s="58" t="s">
        <v>50</v>
      </c>
      <c r="B42" s="57"/>
      <c r="C42" s="57"/>
      <c r="D42" s="57"/>
      <c r="E42" s="57"/>
      <c r="F42" s="57"/>
      <c r="G42" s="57"/>
      <c r="H42" s="57"/>
      <c r="I42" s="57"/>
      <c r="J42" s="57"/>
      <c r="K42" s="59"/>
      <c r="L42" s="8"/>
      <c r="M42" s="66"/>
      <c r="N42" s="66"/>
      <c r="O42" s="66"/>
      <c r="P42" s="66"/>
      <c r="Q42" s="66"/>
      <c r="R42" s="66"/>
      <c r="S42" s="66"/>
    </row>
    <row r="43" spans="1:19" x14ac:dyDescent="0.25">
      <c r="A43" s="62" t="s">
        <v>51</v>
      </c>
      <c r="B43" s="62" t="s">
        <v>40</v>
      </c>
      <c r="C43" s="62" t="s">
        <v>52</v>
      </c>
      <c r="D43" s="62" t="s">
        <v>53</v>
      </c>
      <c r="E43" s="77" t="s">
        <v>54</v>
      </c>
      <c r="F43" s="78"/>
      <c r="G43" s="78"/>
      <c r="H43" s="78"/>
      <c r="I43" s="78"/>
      <c r="J43" s="78"/>
      <c r="K43" s="79"/>
      <c r="L43" s="8"/>
      <c r="M43" s="66"/>
      <c r="N43" s="66"/>
      <c r="O43" s="66"/>
      <c r="P43" s="66"/>
      <c r="Q43" s="66"/>
      <c r="R43" s="66"/>
      <c r="S43" s="66"/>
    </row>
    <row r="44" spans="1:19" x14ac:dyDescent="0.25">
      <c r="A44" s="51"/>
      <c r="B44" s="42"/>
      <c r="C44" s="44"/>
      <c r="D44" s="52"/>
      <c r="E44" s="74" t="s">
        <v>55</v>
      </c>
      <c r="F44" s="75"/>
      <c r="G44" s="75"/>
      <c r="H44" s="75"/>
      <c r="I44" s="75"/>
      <c r="J44" s="75"/>
      <c r="K44" s="76"/>
      <c r="L44" s="8"/>
      <c r="M44" s="66"/>
      <c r="N44" s="66"/>
      <c r="O44" s="66"/>
      <c r="P44" s="66"/>
      <c r="Q44" s="66"/>
      <c r="R44" s="66"/>
      <c r="S44" s="66"/>
    </row>
    <row r="45" spans="1:19" x14ac:dyDescent="0.25">
      <c r="A45" s="53" t="s">
        <v>56</v>
      </c>
      <c r="B45" s="54"/>
      <c r="C45" s="54"/>
      <c r="D45" s="54"/>
      <c r="E45" s="10"/>
      <c r="F45" s="10"/>
      <c r="G45" s="10"/>
      <c r="H45" s="10"/>
      <c r="I45" s="10"/>
      <c r="J45" s="10"/>
      <c r="K45" s="10"/>
      <c r="L45" s="8"/>
      <c r="M45" s="66"/>
      <c r="N45" s="66"/>
      <c r="O45" s="66"/>
      <c r="P45" s="66"/>
      <c r="Q45" s="66"/>
      <c r="R45" s="66"/>
      <c r="S45" s="66"/>
    </row>
    <row r="46" spans="1:19" x14ac:dyDescent="0.25">
      <c r="A46" s="54"/>
      <c r="B46" s="54"/>
      <c r="C46" s="54"/>
      <c r="D46" s="54"/>
      <c r="E46" s="10"/>
      <c r="F46" s="10"/>
      <c r="G46" s="10"/>
      <c r="H46" s="10"/>
      <c r="I46" s="10"/>
      <c r="J46" s="10"/>
      <c r="K46" s="10"/>
      <c r="L46" s="8"/>
      <c r="M46" s="66"/>
      <c r="N46" s="66"/>
      <c r="O46" s="66"/>
      <c r="P46" s="66"/>
      <c r="Q46" s="66"/>
      <c r="R46" s="66"/>
      <c r="S46" s="66"/>
    </row>
    <row r="47" spans="1:19" x14ac:dyDescent="0.25">
      <c r="A47" s="54"/>
      <c r="B47" s="54"/>
      <c r="C47" s="54"/>
      <c r="D47" s="54"/>
      <c r="E47" s="10"/>
      <c r="F47" s="10"/>
      <c r="G47" s="10"/>
      <c r="H47" s="10"/>
      <c r="I47" s="10"/>
      <c r="J47" s="10"/>
      <c r="K47" s="10"/>
      <c r="L47" s="8"/>
      <c r="M47" s="66"/>
      <c r="N47" s="66"/>
      <c r="O47" s="66"/>
      <c r="P47" s="66"/>
      <c r="Q47" s="66"/>
      <c r="R47" s="66"/>
      <c r="S47" s="66"/>
    </row>
    <row r="48" spans="1:19" x14ac:dyDescent="0.25">
      <c r="A48" s="54"/>
      <c r="B48" s="54"/>
      <c r="C48" s="54"/>
      <c r="D48" s="54"/>
      <c r="E48" s="10"/>
      <c r="F48" s="10"/>
      <c r="G48" s="10"/>
      <c r="H48" s="10"/>
      <c r="I48" s="10"/>
      <c r="J48" s="10"/>
      <c r="K48" s="10"/>
      <c r="L48" s="8"/>
      <c r="M48" s="66"/>
      <c r="N48" s="66"/>
      <c r="O48" s="66"/>
      <c r="P48" s="66"/>
      <c r="Q48" s="66"/>
      <c r="R48" s="66"/>
      <c r="S48" s="66"/>
    </row>
    <row r="49" spans="1:19" x14ac:dyDescent="0.25">
      <c r="A49" s="54"/>
      <c r="B49" s="54"/>
      <c r="C49" s="54"/>
      <c r="D49" s="54"/>
      <c r="E49" s="10"/>
      <c r="F49" s="10"/>
      <c r="G49" s="10"/>
      <c r="H49" s="10"/>
      <c r="I49" s="10"/>
      <c r="J49" s="10"/>
      <c r="K49" s="10"/>
      <c r="L49" s="8"/>
      <c r="M49" s="66"/>
      <c r="N49" s="66"/>
      <c r="O49" s="66"/>
      <c r="P49" s="66"/>
      <c r="Q49" s="66"/>
      <c r="R49" s="66"/>
      <c r="S49" s="66"/>
    </row>
    <row r="50" spans="1:19" x14ac:dyDescent="0.25">
      <c r="A50" s="54"/>
      <c r="B50" s="54"/>
      <c r="C50" s="54"/>
      <c r="D50" s="54"/>
      <c r="E50" s="10"/>
      <c r="F50" s="10"/>
      <c r="G50" s="10"/>
      <c r="H50" s="10"/>
      <c r="I50" s="10"/>
      <c r="J50" s="10"/>
      <c r="K50" s="10"/>
      <c r="L50" s="8"/>
      <c r="M50" s="66"/>
      <c r="N50" s="66"/>
      <c r="O50" s="66"/>
      <c r="P50" s="66"/>
      <c r="Q50" s="66"/>
      <c r="R50" s="66"/>
      <c r="S50" s="66"/>
    </row>
    <row r="51" spans="1:19" x14ac:dyDescent="0.25">
      <c r="A51" s="54"/>
      <c r="B51" s="54"/>
      <c r="C51" s="54"/>
      <c r="D51" s="54"/>
      <c r="E51" s="10"/>
      <c r="F51" s="10"/>
      <c r="G51" s="10"/>
      <c r="H51" s="10"/>
      <c r="I51" s="10"/>
      <c r="J51" s="10"/>
      <c r="K51" s="10"/>
      <c r="L51" s="8"/>
      <c r="M51" s="66"/>
      <c r="N51" s="66"/>
      <c r="O51" s="66"/>
      <c r="P51" s="66"/>
      <c r="Q51" s="66"/>
      <c r="R51" s="66"/>
      <c r="S51" s="66"/>
    </row>
    <row r="52" spans="1:19" x14ac:dyDescent="0.25">
      <c r="A52" s="54"/>
      <c r="B52" s="54"/>
      <c r="C52" s="54"/>
      <c r="D52" s="54"/>
      <c r="E52" s="10"/>
      <c r="F52" s="10"/>
      <c r="G52" s="10"/>
      <c r="H52" s="10"/>
      <c r="I52" s="10"/>
      <c r="J52" s="10"/>
      <c r="K52" s="10"/>
      <c r="L52" s="8"/>
      <c r="M52" s="66"/>
      <c r="N52" s="66"/>
      <c r="O52" s="66"/>
      <c r="P52" s="66"/>
      <c r="Q52" s="66"/>
      <c r="R52" s="66"/>
      <c r="S52" s="66"/>
    </row>
    <row r="53" spans="1:19" x14ac:dyDescent="0.25">
      <c r="A53" s="54"/>
      <c r="B53" s="54"/>
      <c r="C53" s="54"/>
      <c r="D53" s="54"/>
      <c r="E53" s="10"/>
      <c r="F53" s="10"/>
      <c r="G53" s="10"/>
      <c r="H53" s="10"/>
      <c r="I53" s="10"/>
      <c r="J53" s="10"/>
      <c r="K53" s="10"/>
      <c r="L53" s="8"/>
      <c r="M53" s="66"/>
      <c r="N53" s="66"/>
      <c r="O53" s="66"/>
      <c r="P53" s="66"/>
      <c r="Q53" s="66"/>
      <c r="R53" s="66"/>
      <c r="S53" s="66"/>
    </row>
    <row r="54" spans="1:19" x14ac:dyDescent="0.25">
      <c r="A54" s="54"/>
      <c r="B54" s="54"/>
      <c r="C54" s="54"/>
      <c r="D54" s="54"/>
      <c r="E54" s="10"/>
      <c r="F54" s="10"/>
      <c r="G54" s="10"/>
      <c r="H54" s="10"/>
      <c r="I54" s="10"/>
      <c r="J54" s="10"/>
      <c r="K54" s="10"/>
      <c r="L54" s="8"/>
      <c r="M54" s="66"/>
      <c r="N54" s="66"/>
      <c r="O54" s="66"/>
      <c r="P54" s="66"/>
      <c r="Q54" s="66"/>
      <c r="R54" s="66"/>
      <c r="S54" s="66"/>
    </row>
    <row r="55" spans="1:19" x14ac:dyDescent="0.25">
      <c r="A55" s="55"/>
      <c r="B55" s="55"/>
      <c r="C55" s="55"/>
      <c r="D55" s="55"/>
      <c r="E55" s="56"/>
      <c r="F55" s="56"/>
      <c r="G55" s="56"/>
      <c r="H55" s="56"/>
      <c r="I55" s="56"/>
      <c r="J55" s="56"/>
      <c r="K55" s="56"/>
      <c r="L55" s="8"/>
      <c r="M55" s="66"/>
      <c r="N55" s="66"/>
      <c r="O55" s="66"/>
      <c r="P55" s="66"/>
      <c r="Q55" s="66"/>
      <c r="R55" s="66"/>
      <c r="S55" s="66"/>
    </row>
    <row r="56" spans="1:19" x14ac:dyDescent="0.25">
      <c r="A56" s="55"/>
      <c r="B56" s="55"/>
      <c r="C56" s="55"/>
      <c r="D56" s="55"/>
      <c r="E56" s="56"/>
      <c r="F56" s="56"/>
      <c r="G56" s="56"/>
      <c r="H56" s="56"/>
      <c r="I56" s="56"/>
      <c r="J56" s="56"/>
      <c r="K56" s="56"/>
      <c r="L56" s="8"/>
      <c r="M56" s="66"/>
      <c r="N56" s="66"/>
      <c r="O56" s="66"/>
      <c r="P56" s="66"/>
      <c r="Q56" s="66"/>
      <c r="R56" s="66"/>
      <c r="S56" s="66"/>
    </row>
    <row r="57" spans="1:19" x14ac:dyDescent="0.25">
      <c r="A57" s="55"/>
      <c r="B57" s="55"/>
      <c r="C57" s="55"/>
      <c r="D57" s="55"/>
      <c r="E57" s="56"/>
      <c r="F57" s="56"/>
      <c r="G57" s="56"/>
      <c r="H57" s="56"/>
      <c r="I57" s="56"/>
      <c r="J57" s="56"/>
      <c r="K57" s="56"/>
      <c r="L57" s="8"/>
      <c r="M57" s="66"/>
      <c r="N57" s="66"/>
      <c r="O57" s="66"/>
      <c r="P57" s="66"/>
      <c r="Q57" s="66"/>
      <c r="R57" s="66"/>
      <c r="S57" s="66"/>
    </row>
    <row r="58" spans="1:19" x14ac:dyDescent="0.25">
      <c r="A58" s="55"/>
      <c r="B58" s="55"/>
      <c r="C58" s="55"/>
      <c r="D58" s="55"/>
      <c r="E58" s="56"/>
      <c r="F58" s="56"/>
      <c r="G58" s="56"/>
      <c r="H58" s="56"/>
      <c r="I58" s="56"/>
      <c r="J58" s="56"/>
      <c r="K58" s="56"/>
      <c r="L58" s="8"/>
      <c r="M58" s="66"/>
      <c r="N58" s="66"/>
      <c r="O58" s="66"/>
      <c r="P58" s="66"/>
      <c r="Q58" s="66"/>
      <c r="R58" s="66"/>
      <c r="S58" s="66"/>
    </row>
    <row r="59" spans="1:19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66"/>
      <c r="N59" s="66"/>
      <c r="O59" s="66"/>
      <c r="P59" s="66"/>
      <c r="Q59" s="66"/>
      <c r="R59" s="66"/>
      <c r="S59" s="66"/>
    </row>
    <row r="60" spans="1:19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66"/>
      <c r="N60" s="66"/>
      <c r="O60" s="66"/>
      <c r="P60" s="66"/>
      <c r="Q60" s="66"/>
      <c r="R60" s="66"/>
      <c r="S60" s="66"/>
    </row>
    <row r="61" spans="1:19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66"/>
      <c r="N61" s="66"/>
      <c r="O61" s="66"/>
      <c r="P61" s="66"/>
      <c r="Q61" s="66"/>
      <c r="R61" s="66"/>
      <c r="S61" s="66"/>
    </row>
  </sheetData>
  <mergeCells count="16">
    <mergeCell ref="B20:F20"/>
    <mergeCell ref="A5:C5"/>
    <mergeCell ref="I5:K5"/>
    <mergeCell ref="I6:K6"/>
    <mergeCell ref="I7:K7"/>
    <mergeCell ref="A14:F14"/>
    <mergeCell ref="E39:K39"/>
    <mergeCell ref="E40:K40"/>
    <mergeCell ref="E43:K43"/>
    <mergeCell ref="E44:K44"/>
    <mergeCell ref="A22:H22"/>
    <mergeCell ref="A26:K26"/>
    <mergeCell ref="A34:K34"/>
    <mergeCell ref="G35:K35"/>
    <mergeCell ref="G36:K36"/>
    <mergeCell ref="A38:K38"/>
  </mergeCells>
  <conditionalFormatting sqref="B16:F19">
    <cfRule type="dataBar" priority="3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{D613B32B-3E8C-4D0D-8225-2FB9107E9280}</x14:id>
        </ext>
      </extLst>
    </cfRule>
    <cfRule type="dataBar" priority="4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{882AA2D6-7AFE-48CC-A19B-97B6E9357C7C}</x14:id>
        </ext>
      </extLst>
    </cfRule>
  </conditionalFormatting>
  <conditionalFormatting sqref="H28:K28 H29:J31">
    <cfRule type="dataBar" priority="5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{15BFF370-3E21-4EA5-A059-E83091D52148}</x14:id>
        </ext>
      </extLst>
    </cfRule>
    <cfRule type="dataBar" priority="6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{874F18B0-FEA4-4719-9494-647377113636}</x14:id>
        </ext>
      </extLst>
    </cfRule>
  </conditionalFormatting>
  <conditionalFormatting sqref="K29">
    <cfRule type="dataBar" priority="1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{9333AA30-F36C-439C-9C58-F52F749CC191}</x14:id>
        </ext>
      </extLst>
    </cfRule>
    <cfRule type="dataBar" priority="2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{C51BB2FF-F588-45E3-823D-D218FE7273C1}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13B32B-3E8C-4D0D-8225-2FB9107E9280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882AA2D6-7AFE-48CC-A19B-97B6E9357C7C}">
            <x14:dataBar minLength="0" maxLength="100" gradient="0" negativeBarColorSameAsPositive="1" axisPosition="none">
              <x14:cfvo type="min"/>
              <x14:cfvo type="max"/>
            </x14:dataBar>
          </x14:cfRule>
          <xm:sqref>B16:F19</xm:sqref>
        </x14:conditionalFormatting>
        <x14:conditionalFormatting xmlns:xm="http://schemas.microsoft.com/office/excel/2006/main">
          <x14:cfRule type="dataBar" id="{15BFF370-3E21-4EA5-A059-E83091D52148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874F18B0-FEA4-4719-9494-647377113636}">
            <x14:dataBar minLength="0" maxLength="100" gradient="0" negativeBarColorSameAsPositive="1" axisPosition="none">
              <x14:cfvo type="min"/>
              <x14:cfvo type="max"/>
            </x14:dataBar>
          </x14:cfRule>
          <xm:sqref>H28:K28 H29:J31</xm:sqref>
        </x14:conditionalFormatting>
        <x14:conditionalFormatting xmlns:xm="http://schemas.microsoft.com/office/excel/2006/main">
          <x14:cfRule type="dataBar" id="{9333AA30-F36C-439C-9C58-F52F749CC191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C51BB2FF-F588-45E3-823D-D218FE7273C1}">
            <x14:dataBar minLength="0" maxLength="100" gradient="0" negativeBarColorSameAsPositive="1" axisPosition="none">
              <x14:cfvo type="min"/>
              <x14:cfvo type="max"/>
            </x14:dataBar>
          </x14:cfRule>
          <xm:sqref>K29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70D75-75E0-47EF-B35B-F5B12466587B}">
  <sheetPr codeName="Sheet1"/>
  <dimension ref="A1:AA61"/>
  <sheetViews>
    <sheetView zoomScale="130" zoomScaleNormal="130" workbookViewId="0">
      <selection activeCell="F28" sqref="F28"/>
    </sheetView>
  </sheetViews>
  <sheetFormatPr defaultRowHeight="15" x14ac:dyDescent="0.25"/>
  <cols>
    <col min="1" max="1" width="16.7109375" style="5" customWidth="1"/>
    <col min="2" max="2" width="19.5703125" style="5" customWidth="1"/>
    <col min="3" max="3" width="15.140625" style="5" customWidth="1"/>
    <col min="4" max="4" width="13.28515625" style="5" customWidth="1"/>
    <col min="5" max="5" width="12.5703125" style="5" customWidth="1"/>
    <col min="6" max="6" width="21.42578125" style="5" customWidth="1"/>
    <col min="7" max="7" width="38.42578125" style="5" customWidth="1"/>
    <col min="8" max="12" width="9.140625" style="5"/>
    <col min="28" max="16384" width="9.140625" style="5"/>
  </cols>
  <sheetData>
    <row r="1" spans="1:19" ht="15.75" x14ac:dyDescent="0.25">
      <c r="A1" s="3"/>
      <c r="B1" s="4"/>
      <c r="C1" s="4"/>
      <c r="D1" s="3"/>
      <c r="E1" s="2"/>
      <c r="F1" s="2" t="s">
        <v>57</v>
      </c>
      <c r="G1" s="4"/>
      <c r="H1" s="4"/>
      <c r="I1" s="4"/>
      <c r="J1" s="4"/>
      <c r="K1" s="4"/>
    </row>
    <row r="2" spans="1:19" ht="15.75" x14ac:dyDescent="0.25">
      <c r="A2" s="4"/>
      <c r="B2" s="4"/>
      <c r="C2" s="4"/>
      <c r="D2" s="3"/>
      <c r="E2" s="6"/>
      <c r="F2" s="7" t="s">
        <v>58</v>
      </c>
      <c r="G2" s="3"/>
      <c r="H2" s="3"/>
      <c r="I2" s="4"/>
      <c r="J2" s="4"/>
      <c r="K2" s="4"/>
    </row>
    <row r="3" spans="1:19" x14ac:dyDescent="0.25">
      <c r="A3" s="8"/>
      <c r="B3" s="8"/>
      <c r="C3" s="9"/>
      <c r="D3" s="10"/>
      <c r="E3" s="11"/>
      <c r="F3" s="7" t="s">
        <v>59</v>
      </c>
      <c r="G3" s="9"/>
      <c r="H3" s="9"/>
      <c r="I3" s="9"/>
      <c r="J3" s="9"/>
      <c r="K3" s="9"/>
    </row>
    <row r="4" spans="1:19" ht="33" customHeight="1" x14ac:dyDescent="0.25">
      <c r="A4" s="8"/>
      <c r="B4" s="8"/>
      <c r="C4" s="8"/>
      <c r="D4" s="10"/>
      <c r="E4" s="12"/>
      <c r="F4" s="12" t="str">
        <f ca="1">IF(COUNTA(B28:B31)=0, "Reporting Period: " &amp; YEAR(TODAY()),
    IF(COUNTA(B28:B31)=1, "Reporting Period: January - March " &amp; YEAR(TODAY()),
    IF(COUNTA(B28:B31)=2, "Reporting Period: April - June " &amp; YEAR(TODAY()),
    IF(COUNTA(B28:B31)=3, "Reporting Period: July - September " &amp; YEAR(TODAY()),
    "Reporting Period: October - December " &amp; YEAR(TODAY())))))</f>
        <v>Reporting Period: 2024</v>
      </c>
      <c r="G4" s="13"/>
      <c r="H4" s="13"/>
      <c r="I4" s="13"/>
      <c r="J4" s="13"/>
      <c r="K4" s="13"/>
    </row>
    <row r="5" spans="1:19" x14ac:dyDescent="0.25">
      <c r="A5" s="80" t="s">
        <v>1</v>
      </c>
      <c r="B5" s="81"/>
      <c r="C5" s="82"/>
      <c r="D5" s="14"/>
      <c r="E5" s="14"/>
      <c r="F5" s="8"/>
      <c r="G5" s="15"/>
      <c r="H5" s="15"/>
      <c r="I5" s="88"/>
      <c r="J5" s="88"/>
      <c r="K5" s="88"/>
    </row>
    <row r="6" spans="1:19" x14ac:dyDescent="0.25">
      <c r="A6" s="16"/>
      <c r="B6" s="17" t="s">
        <v>2</v>
      </c>
      <c r="C6" s="18">
        <v>10.199999999999999</v>
      </c>
      <c r="D6" s="19"/>
      <c r="E6" s="19"/>
      <c r="F6" s="8"/>
      <c r="G6" s="15"/>
      <c r="H6" s="15"/>
      <c r="I6" s="88"/>
      <c r="J6" s="88"/>
      <c r="K6" s="88"/>
    </row>
    <row r="7" spans="1:19" x14ac:dyDescent="0.25">
      <c r="A7" s="16"/>
      <c r="B7" s="17" t="s">
        <v>3</v>
      </c>
      <c r="C7" s="18">
        <v>7</v>
      </c>
      <c r="D7" s="19"/>
      <c r="E7" s="19"/>
      <c r="F7" s="8"/>
      <c r="G7" s="15"/>
      <c r="H7" s="15"/>
      <c r="I7" s="88"/>
      <c r="J7" s="88"/>
      <c r="K7" s="88"/>
    </row>
    <row r="8" spans="1:19" x14ac:dyDescent="0.25">
      <c r="A8" s="16"/>
      <c r="B8" s="17" t="s">
        <v>4</v>
      </c>
      <c r="C8" s="20">
        <v>59</v>
      </c>
      <c r="D8" s="21"/>
      <c r="E8" s="21"/>
      <c r="F8" s="8"/>
      <c r="G8" s="15"/>
      <c r="H8" s="8"/>
      <c r="I8" s="8"/>
      <c r="J8" s="8"/>
      <c r="K8" s="8"/>
    </row>
    <row r="9" spans="1:19" x14ac:dyDescent="0.25">
      <c r="A9" s="16"/>
      <c r="B9" s="17" t="s">
        <v>5</v>
      </c>
      <c r="C9" s="22">
        <v>25488</v>
      </c>
      <c r="D9" s="21"/>
      <c r="E9" s="21"/>
      <c r="F9" s="8"/>
      <c r="G9" s="15"/>
      <c r="H9" s="8"/>
      <c r="I9" s="8"/>
      <c r="J9" s="8"/>
      <c r="K9" s="8"/>
    </row>
    <row r="10" spans="1:19" x14ac:dyDescent="0.25">
      <c r="A10" s="16"/>
      <c r="B10" s="17" t="s">
        <v>6</v>
      </c>
      <c r="C10" s="20">
        <v>3</v>
      </c>
      <c r="D10" s="21"/>
      <c r="E10" s="21"/>
      <c r="F10" s="8"/>
      <c r="G10" s="15"/>
      <c r="H10" s="8"/>
      <c r="I10" s="8"/>
      <c r="J10" s="8"/>
      <c r="K10" s="8"/>
    </row>
    <row r="11" spans="1:19" x14ac:dyDescent="0.25">
      <c r="A11" s="16"/>
      <c r="B11" s="17" t="s">
        <v>7</v>
      </c>
      <c r="C11" s="20">
        <v>59</v>
      </c>
      <c r="D11" s="21"/>
      <c r="E11" s="21"/>
      <c r="F11" s="8"/>
      <c r="G11" s="15"/>
      <c r="H11" s="8"/>
      <c r="I11" s="8"/>
      <c r="J11" s="8"/>
      <c r="K11" s="8"/>
    </row>
    <row r="12" spans="1:19" x14ac:dyDescent="0.25">
      <c r="A12" s="23"/>
      <c r="B12" s="23"/>
      <c r="C12" s="24"/>
      <c r="D12" s="21"/>
      <c r="E12" s="21"/>
      <c r="F12" s="8"/>
      <c r="G12" s="8"/>
      <c r="H12" s="8"/>
      <c r="I12" s="8"/>
      <c r="J12" s="8"/>
      <c r="K12" s="8"/>
    </row>
    <row r="13" spans="1:19" x14ac:dyDescent="0.25">
      <c r="A13" s="25"/>
      <c r="B13" s="25"/>
      <c r="C13" s="26"/>
      <c r="D13" s="21"/>
      <c r="E13" s="21"/>
      <c r="F13" s="8"/>
      <c r="G13" s="8"/>
      <c r="H13" s="8"/>
      <c r="I13" s="8"/>
      <c r="J13" s="8"/>
      <c r="K13" s="8"/>
    </row>
    <row r="14" spans="1:19" x14ac:dyDescent="0.25">
      <c r="A14" s="89" t="s">
        <v>8</v>
      </c>
      <c r="B14" s="89"/>
      <c r="C14" s="89"/>
      <c r="D14" s="89"/>
      <c r="E14" s="89"/>
      <c r="F14" s="89"/>
      <c r="G14" s="8"/>
      <c r="H14" s="8"/>
      <c r="I14" s="8"/>
      <c r="J14" s="8"/>
      <c r="K14" s="8"/>
      <c r="L14" s="8"/>
      <c r="M14" s="66"/>
      <c r="N14" s="66"/>
      <c r="O14" s="66"/>
      <c r="P14" s="66"/>
      <c r="Q14" s="66"/>
      <c r="R14" s="66"/>
      <c r="S14" s="66"/>
    </row>
    <row r="15" spans="1:19" ht="16.5" x14ac:dyDescent="0.25">
      <c r="A15" s="60" t="s">
        <v>9</v>
      </c>
      <c r="B15" s="60" t="s">
        <v>10</v>
      </c>
      <c r="C15" s="60" t="s">
        <v>11</v>
      </c>
      <c r="D15" s="60" t="s">
        <v>12</v>
      </c>
      <c r="E15" s="60" t="s">
        <v>13</v>
      </c>
      <c r="F15" s="60" t="s">
        <v>14</v>
      </c>
      <c r="G15" s="8"/>
      <c r="H15" s="8"/>
      <c r="I15" s="8"/>
      <c r="J15" s="8"/>
      <c r="K15" s="8"/>
      <c r="L15" s="8"/>
      <c r="M15" s="66"/>
      <c r="N15" s="67"/>
      <c r="O15" s="68"/>
      <c r="P15" s="66"/>
      <c r="Q15" s="66"/>
      <c r="R15" s="66"/>
      <c r="S15" s="66"/>
    </row>
    <row r="16" spans="1:19" x14ac:dyDescent="0.25">
      <c r="A16" s="29" t="s">
        <v>15</v>
      </c>
      <c r="B16" s="30"/>
      <c r="C16" s="30"/>
      <c r="D16" s="30"/>
      <c r="E16" s="30"/>
      <c r="F16" s="30"/>
      <c r="G16" s="8"/>
      <c r="H16" s="8"/>
      <c r="I16" s="8"/>
      <c r="J16" s="8"/>
      <c r="K16" s="8"/>
      <c r="L16" s="8"/>
      <c r="M16" s="66"/>
      <c r="N16" s="67"/>
      <c r="O16" s="68"/>
      <c r="P16" s="66"/>
      <c r="Q16" s="66"/>
      <c r="R16" s="66"/>
      <c r="S16" s="66"/>
    </row>
    <row r="17" spans="1:19" x14ac:dyDescent="0.25">
      <c r="A17" s="29" t="s">
        <v>16</v>
      </c>
      <c r="B17" s="30"/>
      <c r="C17" s="30"/>
      <c r="D17" s="30"/>
      <c r="E17" s="30"/>
      <c r="F17" s="30"/>
      <c r="G17" s="8"/>
      <c r="H17" s="8"/>
      <c r="I17" s="8"/>
      <c r="J17" s="8"/>
      <c r="K17" s="8"/>
      <c r="L17" s="8"/>
      <c r="M17" s="66"/>
      <c r="N17" s="67"/>
      <c r="O17" s="68"/>
      <c r="P17" s="66"/>
      <c r="Q17" s="66"/>
      <c r="R17" s="66"/>
      <c r="S17" s="66"/>
    </row>
    <row r="18" spans="1:19" x14ac:dyDescent="0.25">
      <c r="A18" s="29" t="s">
        <v>17</v>
      </c>
      <c r="B18" s="30"/>
      <c r="C18" s="30"/>
      <c r="D18" s="30"/>
      <c r="E18" s="30"/>
      <c r="F18" s="30"/>
      <c r="G18" s="8"/>
      <c r="H18" s="8"/>
      <c r="I18" s="8"/>
      <c r="J18" s="8"/>
      <c r="K18" s="8"/>
      <c r="L18" s="8"/>
      <c r="M18" s="66"/>
      <c r="N18" s="67"/>
      <c r="O18" s="68"/>
      <c r="P18" s="66"/>
      <c r="Q18" s="66"/>
      <c r="R18" s="66"/>
      <c r="S18" s="66"/>
    </row>
    <row r="19" spans="1:19" x14ac:dyDescent="0.25">
      <c r="A19" s="29" t="s">
        <v>18</v>
      </c>
      <c r="B19" s="30"/>
      <c r="C19" s="30"/>
      <c r="D19" s="30"/>
      <c r="E19" s="30"/>
      <c r="F19" s="30"/>
      <c r="G19" s="8"/>
      <c r="H19" s="8"/>
      <c r="I19" s="8"/>
      <c r="J19" s="8"/>
      <c r="K19" s="8"/>
      <c r="L19" s="8"/>
      <c r="M19" s="66"/>
      <c r="N19" s="67"/>
      <c r="O19" s="68"/>
      <c r="P19" s="66"/>
      <c r="Q19" s="66"/>
      <c r="R19" s="66"/>
      <c r="S19" s="66"/>
    </row>
    <row r="20" spans="1:19" x14ac:dyDescent="0.25">
      <c r="A20" s="31" t="s">
        <v>19</v>
      </c>
      <c r="B20" s="90"/>
      <c r="C20" s="90"/>
      <c r="D20" s="90"/>
      <c r="E20" s="90"/>
      <c r="F20" s="90"/>
      <c r="G20" s="8"/>
      <c r="H20" s="8"/>
      <c r="I20" s="8"/>
      <c r="J20" s="8"/>
      <c r="K20" s="8"/>
      <c r="L20" s="8"/>
      <c r="M20" s="66"/>
      <c r="N20" s="67"/>
      <c r="O20" s="68"/>
      <c r="P20" s="66"/>
      <c r="Q20" s="66"/>
      <c r="R20" s="66"/>
      <c r="S20" s="66"/>
    </row>
    <row r="21" spans="1:19" x14ac:dyDescent="0.25">
      <c r="A21" s="32"/>
      <c r="B21" s="32"/>
      <c r="C21" s="33"/>
      <c r="D21" s="34"/>
      <c r="E21" s="34"/>
      <c r="F21" s="8"/>
      <c r="G21" s="8"/>
      <c r="H21" s="8"/>
      <c r="I21" s="8"/>
      <c r="J21" s="8"/>
      <c r="K21" s="8"/>
      <c r="L21" s="8"/>
      <c r="M21" s="66"/>
      <c r="N21" s="67"/>
      <c r="O21" s="68"/>
      <c r="P21" s="66"/>
      <c r="Q21" s="66"/>
      <c r="R21" s="66"/>
      <c r="S21" s="66"/>
    </row>
    <row r="22" spans="1:19" x14ac:dyDescent="0.25">
      <c r="A22" s="80" t="s">
        <v>20</v>
      </c>
      <c r="B22" s="81"/>
      <c r="C22" s="81"/>
      <c r="D22" s="81"/>
      <c r="E22" s="81"/>
      <c r="F22" s="81"/>
      <c r="G22" s="81"/>
      <c r="H22" s="82"/>
      <c r="I22" s="8"/>
      <c r="J22" s="8"/>
      <c r="K22" s="27"/>
      <c r="L22" s="28"/>
      <c r="M22" s="66"/>
      <c r="N22" s="66"/>
      <c r="O22" s="66"/>
      <c r="P22" s="66"/>
      <c r="Q22" s="66"/>
      <c r="R22" s="66"/>
      <c r="S22" s="66"/>
    </row>
    <row r="23" spans="1:19" ht="56.25" x14ac:dyDescent="0.25">
      <c r="A23" s="61" t="s">
        <v>21</v>
      </c>
      <c r="B23" s="61" t="s">
        <v>22</v>
      </c>
      <c r="C23" s="61" t="s">
        <v>23</v>
      </c>
      <c r="D23" s="61" t="s">
        <v>24</v>
      </c>
      <c r="E23" s="61" t="s">
        <v>25</v>
      </c>
      <c r="F23" s="61" t="s">
        <v>26</v>
      </c>
      <c r="G23" s="61" t="s">
        <v>27</v>
      </c>
      <c r="H23" s="61" t="s">
        <v>28</v>
      </c>
      <c r="I23" s="8"/>
      <c r="J23" s="8"/>
      <c r="K23" s="27"/>
      <c r="L23" s="28"/>
      <c r="M23" s="66"/>
      <c r="N23" s="66"/>
      <c r="O23" s="66"/>
      <c r="P23" s="66"/>
      <c r="Q23" s="66"/>
      <c r="R23" s="66"/>
      <c r="S23" s="66"/>
    </row>
    <row r="24" spans="1:19" x14ac:dyDescent="0.25">
      <c r="A24" s="35" t="e" cm="1">
        <f t="array" ref="A24">LOOKUP(2,1/(H28:H31&lt;&gt;""),H28:H31)</f>
        <v>#N/A</v>
      </c>
      <c r="B24" s="35" t="e" cm="1">
        <f t="array" ref="B24">LOOKUP(2,1/(I28:I31&lt;&gt;""),I28:I31)</f>
        <v>#N/A</v>
      </c>
      <c r="C24" s="35" t="e" cm="1">
        <f t="array" ref="C24">LOOKUP(2,1/(J28:J31&lt;&gt;""),J28:J31)</f>
        <v>#N/A</v>
      </c>
      <c r="D24" s="35" t="e" cm="1">
        <f t="array" ref="D24">LOOKUP(2,1/(K28:K31&lt;&gt;""),K28:K31)</f>
        <v>#N/A</v>
      </c>
      <c r="E24" s="36">
        <v>1</v>
      </c>
      <c r="F24" s="36">
        <v>1</v>
      </c>
      <c r="G24" s="37">
        <v>0</v>
      </c>
      <c r="H24" s="37">
        <v>0</v>
      </c>
      <c r="I24" s="8"/>
      <c r="J24" s="8"/>
      <c r="K24" s="27"/>
      <c r="L24" s="28"/>
      <c r="M24" s="66"/>
      <c r="N24" s="66"/>
      <c r="O24" s="66"/>
      <c r="P24" s="66"/>
      <c r="Q24" s="66"/>
      <c r="R24" s="66"/>
      <c r="S24" s="66"/>
    </row>
    <row r="25" spans="1:19" x14ac:dyDescent="0.25">
      <c r="G25" s="8"/>
      <c r="H25" s="8"/>
      <c r="I25" s="8"/>
      <c r="J25" s="8"/>
      <c r="K25" s="8"/>
      <c r="L25" s="8"/>
      <c r="M25" s="66"/>
      <c r="N25" s="67"/>
      <c r="O25" s="68"/>
      <c r="P25" s="66"/>
      <c r="Q25" s="66"/>
      <c r="R25" s="66"/>
      <c r="S25" s="66"/>
    </row>
    <row r="26" spans="1:19" x14ac:dyDescent="0.25">
      <c r="A26" s="83" t="s">
        <v>29</v>
      </c>
      <c r="B26" s="84"/>
      <c r="C26" s="84"/>
      <c r="D26" s="84"/>
      <c r="E26" s="84"/>
      <c r="F26" s="84"/>
      <c r="G26" s="84"/>
      <c r="H26" s="84"/>
      <c r="I26" s="84"/>
      <c r="J26" s="84"/>
      <c r="K26" s="85"/>
      <c r="L26" s="8"/>
      <c r="M26" s="66"/>
      <c r="N26" s="69" t="str">
        <f>I27</f>
        <v>Performance Index (%)</v>
      </c>
      <c r="O26" s="68"/>
      <c r="P26" s="66"/>
      <c r="Q26" s="66"/>
      <c r="R26" s="66"/>
      <c r="S26" s="66"/>
    </row>
    <row r="27" spans="1:19" ht="24.75" x14ac:dyDescent="0.25">
      <c r="A27" s="60" t="s">
        <v>30</v>
      </c>
      <c r="B27" s="60" t="s">
        <v>31</v>
      </c>
      <c r="C27" s="60" t="s">
        <v>32</v>
      </c>
      <c r="D27" s="60" t="s">
        <v>33</v>
      </c>
      <c r="E27" s="60" t="s">
        <v>34</v>
      </c>
      <c r="F27" s="60" t="s">
        <v>35</v>
      </c>
      <c r="G27" s="60" t="s">
        <v>36</v>
      </c>
      <c r="H27" s="60" t="s">
        <v>21</v>
      </c>
      <c r="I27" s="60" t="s">
        <v>22</v>
      </c>
      <c r="J27" s="60" t="s">
        <v>23</v>
      </c>
      <c r="K27" s="60" t="s">
        <v>24</v>
      </c>
      <c r="L27" s="8"/>
      <c r="M27" s="70"/>
      <c r="N27" s="70" t="s">
        <v>0</v>
      </c>
      <c r="O27" s="70" t="s">
        <v>37</v>
      </c>
      <c r="P27" s="66"/>
      <c r="Q27" s="66"/>
      <c r="R27" s="66"/>
      <c r="S27" s="66"/>
    </row>
    <row r="28" spans="1:19" x14ac:dyDescent="0.25">
      <c r="A28" s="29" t="s">
        <v>15</v>
      </c>
      <c r="B28" s="38"/>
      <c r="C28" s="39"/>
      <c r="D28" s="39" t="str">
        <f>IF(B28="","",J28*C28)</f>
        <v/>
      </c>
      <c r="E28" s="39"/>
      <c r="F28" s="39" t="str">
        <f>IF(E28="", "", 434259)</f>
        <v/>
      </c>
      <c r="G28" s="39" t="str">
        <f>IF(B28="","",D29-B28)</f>
        <v/>
      </c>
      <c r="H28" s="40" t="str">
        <f>IF(B28="","",B28/C28)</f>
        <v/>
      </c>
      <c r="I28" s="40" t="str">
        <f>IF(B28="","",B28/D29)</f>
        <v/>
      </c>
      <c r="J28" s="40" t="str">
        <f>IF(B28="","",E28/F28)</f>
        <v/>
      </c>
      <c r="K28" s="40"/>
      <c r="L28" s="8"/>
      <c r="M28" s="70" t="str">
        <f>A28</f>
        <v>Q1</v>
      </c>
      <c r="N28" s="71" t="e">
        <f>IF(I28="",NA(),I28)</f>
        <v>#N/A</v>
      </c>
      <c r="O28" s="72" t="e">
        <f>IF(OR(I28="",I28=0),NA(),AVERAGE(I$28:I28))</f>
        <v>#N/A</v>
      </c>
      <c r="P28" s="66">
        <v>1</v>
      </c>
      <c r="Q28" s="66">
        <v>3</v>
      </c>
      <c r="R28" s="66"/>
      <c r="S28" s="66"/>
    </row>
    <row r="29" spans="1:19" x14ac:dyDescent="0.25">
      <c r="A29" s="29" t="s">
        <v>16</v>
      </c>
      <c r="B29" s="39"/>
      <c r="C29" s="39"/>
      <c r="D29" s="39" t="str">
        <f t="shared" ref="D29:D31" si="0">IF(B29="","",J29*C29)</f>
        <v/>
      </c>
      <c r="E29" s="39"/>
      <c r="F29" s="39" t="str">
        <f>IF(E29="", "", 697398)</f>
        <v/>
      </c>
      <c r="G29" s="39" t="str">
        <f>IF(B29="","",#REF!-B29)</f>
        <v/>
      </c>
      <c r="H29" s="40" t="str">
        <f t="shared" ref="H29:H31" si="1">IF(B29="","",B29/C29)</f>
        <v/>
      </c>
      <c r="I29" s="40" t="str">
        <f>IF(B29="","",B29/#REF!)</f>
        <v/>
      </c>
      <c r="J29" s="40" t="str">
        <f t="shared" ref="J29:J31" si="2">IF(B29="","",E29/F29)</f>
        <v/>
      </c>
      <c r="K29" s="40"/>
      <c r="L29" s="8"/>
      <c r="M29" s="70" t="str">
        <f t="shared" ref="M29:M31" si="3">A29</f>
        <v>Q2</v>
      </c>
      <c r="N29" s="71" t="e">
        <f t="shared" ref="N29:N31" si="4">IF(I29="",NA(),I29)</f>
        <v>#N/A</v>
      </c>
      <c r="O29" s="72" t="e">
        <f>IF(OR(I29="",I29=0),NA(),AVERAGE(I$28:I29))</f>
        <v>#N/A</v>
      </c>
      <c r="P29" s="66">
        <v>4</v>
      </c>
      <c r="Q29" s="66">
        <v>6</v>
      </c>
      <c r="R29" s="66"/>
      <c r="S29" s="66"/>
    </row>
    <row r="30" spans="1:19" x14ac:dyDescent="0.25">
      <c r="A30" s="29" t="s">
        <v>17</v>
      </c>
      <c r="B30" s="39"/>
      <c r="C30" s="39"/>
      <c r="D30" s="39" t="str">
        <f t="shared" si="0"/>
        <v/>
      </c>
      <c r="E30" s="39"/>
      <c r="F30" s="39" t="str">
        <f>IF(E30="", "", 633213)</f>
        <v/>
      </c>
      <c r="G30" s="39" t="str">
        <f t="shared" ref="G30:G31" si="5">IF(B30="","",D30-B30)</f>
        <v/>
      </c>
      <c r="H30" s="40" t="str">
        <f t="shared" si="1"/>
        <v/>
      </c>
      <c r="I30" s="40" t="str">
        <f t="shared" ref="I30:I31" si="6">IF(B30="","",B30/D30)</f>
        <v/>
      </c>
      <c r="J30" s="40" t="str">
        <f t="shared" si="2"/>
        <v/>
      </c>
      <c r="K30" s="41"/>
      <c r="L30" s="8"/>
      <c r="M30" s="70" t="str">
        <f t="shared" si="3"/>
        <v>Q3</v>
      </c>
      <c r="N30" s="71" t="e">
        <f t="shared" si="4"/>
        <v>#N/A</v>
      </c>
      <c r="O30" s="72" t="e">
        <f>IF(OR(I30="",I30=0),NA(),AVERAGE(I$28:I30))</f>
        <v>#N/A</v>
      </c>
      <c r="P30" s="66">
        <v>7</v>
      </c>
      <c r="Q30" s="66">
        <v>9</v>
      </c>
      <c r="R30" s="66"/>
      <c r="S30" s="66"/>
    </row>
    <row r="31" spans="1:19" x14ac:dyDescent="0.25">
      <c r="A31" s="29" t="s">
        <v>18</v>
      </c>
      <c r="B31" s="39"/>
      <c r="C31" s="39"/>
      <c r="D31" s="39" t="str">
        <f t="shared" si="0"/>
        <v/>
      </c>
      <c r="E31" s="39"/>
      <c r="F31" s="39" t="str">
        <f>IF(E31="", "", 394342)</f>
        <v/>
      </c>
      <c r="G31" s="39" t="str">
        <f t="shared" si="5"/>
        <v/>
      </c>
      <c r="H31" s="40" t="str">
        <f t="shared" si="1"/>
        <v/>
      </c>
      <c r="I31" s="40" t="str">
        <f t="shared" si="6"/>
        <v/>
      </c>
      <c r="J31" s="40" t="str">
        <f t="shared" si="2"/>
        <v/>
      </c>
      <c r="K31" s="41"/>
      <c r="L31" s="8"/>
      <c r="M31" s="70" t="str">
        <f t="shared" si="3"/>
        <v>Q4</v>
      </c>
      <c r="N31" s="71" t="e">
        <f t="shared" si="4"/>
        <v>#N/A</v>
      </c>
      <c r="O31" s="72" t="e">
        <f>IF(OR(I31="",I31=0),NA(),AVERAGE(I$28:I31))</f>
        <v>#N/A</v>
      </c>
      <c r="P31" s="66">
        <v>10</v>
      </c>
      <c r="Q31" s="66">
        <v>12</v>
      </c>
      <c r="R31" s="66"/>
      <c r="S31" s="66"/>
    </row>
    <row r="32" spans="1:19" x14ac:dyDescent="0.25">
      <c r="A32" s="63" t="s">
        <v>37</v>
      </c>
      <c r="B32" s="64">
        <f>SUM(B28:B31)</f>
        <v>0</v>
      </c>
      <c r="C32" s="64">
        <f t="shared" ref="C32:G32" si="7">SUM(C28:C31)</f>
        <v>0</v>
      </c>
      <c r="D32" s="64">
        <f>SUM(D29:D31)</f>
        <v>0</v>
      </c>
      <c r="E32" s="64">
        <f t="shared" si="7"/>
        <v>0</v>
      </c>
      <c r="F32" s="64">
        <f t="shared" si="7"/>
        <v>0</v>
      </c>
      <c r="G32" s="64">
        <f t="shared" si="7"/>
        <v>0</v>
      </c>
      <c r="H32" s="65" t="str">
        <f>IFERROR(AVERAGE(H28:H31),"")</f>
        <v/>
      </c>
      <c r="I32" s="65" t="str">
        <f t="shared" ref="I32:K32" si="8">IFERROR(AVERAGE(I28:I31),"")</f>
        <v/>
      </c>
      <c r="J32" s="65" t="str">
        <f t="shared" si="8"/>
        <v/>
      </c>
      <c r="K32" s="65" t="str">
        <f t="shared" si="8"/>
        <v/>
      </c>
      <c r="L32" s="8"/>
      <c r="M32" s="70"/>
      <c r="N32" s="70"/>
      <c r="O32" s="70"/>
      <c r="P32" s="66"/>
      <c r="Q32" s="66"/>
      <c r="R32" s="66"/>
      <c r="S32" s="66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8"/>
      <c r="M33" s="66"/>
      <c r="N33" s="66"/>
      <c r="O33" s="66"/>
      <c r="P33" s="66"/>
      <c r="Q33" s="66"/>
      <c r="R33" s="66"/>
      <c r="S33" s="66"/>
    </row>
    <row r="34" spans="1:19" x14ac:dyDescent="0.25">
      <c r="A34" s="86" t="s">
        <v>38</v>
      </c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"/>
      <c r="M34" s="66"/>
      <c r="N34" s="66"/>
      <c r="O34" s="66"/>
      <c r="P34" s="66"/>
      <c r="Q34" s="66"/>
      <c r="R34" s="66"/>
      <c r="S34" s="66"/>
    </row>
    <row r="35" spans="1:19" x14ac:dyDescent="0.25">
      <c r="A35" s="60" t="s">
        <v>39</v>
      </c>
      <c r="B35" s="60" t="s">
        <v>40</v>
      </c>
      <c r="C35" s="60" t="s">
        <v>41</v>
      </c>
      <c r="D35" s="60" t="s">
        <v>42</v>
      </c>
      <c r="E35" s="60" t="s">
        <v>43</v>
      </c>
      <c r="F35" s="60" t="s">
        <v>44</v>
      </c>
      <c r="G35" s="73" t="s">
        <v>45</v>
      </c>
      <c r="H35" s="73"/>
      <c r="I35" s="73"/>
      <c r="J35" s="73"/>
      <c r="K35" s="73"/>
      <c r="L35" s="8"/>
      <c r="M35" s="66"/>
      <c r="N35" s="66"/>
      <c r="O35" s="66"/>
      <c r="P35" s="66"/>
      <c r="Q35" s="66"/>
      <c r="R35" s="66"/>
      <c r="S35" s="66"/>
    </row>
    <row r="36" spans="1:19" x14ac:dyDescent="0.25">
      <c r="A36" s="42"/>
      <c r="B36" s="43"/>
      <c r="C36" s="44"/>
      <c r="D36" s="44"/>
      <c r="E36" s="45"/>
      <c r="F36" s="45"/>
      <c r="G36" s="87" t="s">
        <v>46</v>
      </c>
      <c r="H36" s="87"/>
      <c r="I36" s="87"/>
      <c r="J36" s="87"/>
      <c r="K36" s="87"/>
      <c r="L36" s="8"/>
      <c r="M36" s="66"/>
      <c r="N36" s="66"/>
      <c r="O36" s="66"/>
      <c r="P36" s="66"/>
      <c r="Q36" s="66"/>
      <c r="R36" s="66"/>
      <c r="S36" s="66"/>
    </row>
    <row r="37" spans="1:19" x14ac:dyDescent="0.25">
      <c r="A37" s="46"/>
      <c r="B37" s="46"/>
      <c r="C37" s="47"/>
      <c r="D37" s="48"/>
      <c r="E37" s="49"/>
      <c r="F37" s="50"/>
      <c r="G37" s="50"/>
      <c r="H37" s="50"/>
      <c r="I37" s="50"/>
      <c r="J37" s="50"/>
      <c r="K37" s="50"/>
      <c r="L37" s="8"/>
      <c r="M37" s="66"/>
      <c r="N37" s="66"/>
      <c r="O37" s="66"/>
      <c r="P37" s="66"/>
      <c r="Q37" s="66"/>
      <c r="R37" s="66"/>
      <c r="S37" s="66"/>
    </row>
    <row r="38" spans="1:19" x14ac:dyDescent="0.25">
      <c r="A38" s="86" t="s">
        <v>47</v>
      </c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"/>
      <c r="M38" s="66"/>
      <c r="N38" s="66"/>
      <c r="O38" s="66"/>
      <c r="P38" s="66"/>
      <c r="Q38" s="66"/>
      <c r="R38" s="66"/>
      <c r="S38" s="66"/>
    </row>
    <row r="39" spans="1:19" x14ac:dyDescent="0.25">
      <c r="A39" s="60" t="s">
        <v>39</v>
      </c>
      <c r="B39" s="60" t="s">
        <v>40</v>
      </c>
      <c r="C39" s="60" t="s">
        <v>48</v>
      </c>
      <c r="D39" s="60" t="s">
        <v>49</v>
      </c>
      <c r="E39" s="73" t="s">
        <v>44</v>
      </c>
      <c r="F39" s="73"/>
      <c r="G39" s="73"/>
      <c r="H39" s="73"/>
      <c r="I39" s="73"/>
      <c r="J39" s="73"/>
      <c r="K39" s="73"/>
      <c r="L39" s="8"/>
      <c r="M39" s="66"/>
      <c r="N39" s="66"/>
      <c r="O39" s="66"/>
      <c r="P39" s="66"/>
      <c r="Q39" s="66"/>
      <c r="R39" s="66"/>
      <c r="S39" s="66"/>
    </row>
    <row r="40" spans="1:19" x14ac:dyDescent="0.25">
      <c r="A40" s="42"/>
      <c r="B40" s="43"/>
      <c r="C40" s="44"/>
      <c r="D40" s="44"/>
      <c r="E40" s="74" t="s">
        <v>46</v>
      </c>
      <c r="F40" s="75"/>
      <c r="G40" s="75"/>
      <c r="H40" s="75"/>
      <c r="I40" s="75"/>
      <c r="J40" s="75"/>
      <c r="K40" s="76"/>
      <c r="L40" s="8"/>
      <c r="M40" s="66"/>
      <c r="N40" s="66"/>
      <c r="O40" s="66"/>
      <c r="P40" s="66"/>
      <c r="Q40" s="66"/>
      <c r="R40" s="66"/>
      <c r="S40" s="66"/>
    </row>
    <row r="41" spans="1:19" x14ac:dyDescent="0.25">
      <c r="A41" s="46"/>
      <c r="B41" s="46"/>
      <c r="C41" s="47"/>
      <c r="D41" s="48"/>
      <c r="E41" s="49"/>
      <c r="F41" s="50"/>
      <c r="G41" s="50"/>
      <c r="H41" s="50"/>
      <c r="I41" s="50"/>
      <c r="J41" s="50"/>
      <c r="K41" s="50"/>
      <c r="L41" s="8"/>
      <c r="M41" s="66"/>
      <c r="N41" s="66"/>
      <c r="O41" s="66"/>
      <c r="P41" s="66"/>
      <c r="Q41" s="66"/>
      <c r="R41" s="66"/>
      <c r="S41" s="66"/>
    </row>
    <row r="42" spans="1:19" x14ac:dyDescent="0.25">
      <c r="A42" s="58" t="s">
        <v>50</v>
      </c>
      <c r="B42" s="57"/>
      <c r="C42" s="57"/>
      <c r="D42" s="57"/>
      <c r="E42" s="57"/>
      <c r="F42" s="57"/>
      <c r="G42" s="57"/>
      <c r="H42" s="57"/>
      <c r="I42" s="57"/>
      <c r="J42" s="57"/>
      <c r="K42" s="59"/>
      <c r="L42" s="8"/>
      <c r="M42" s="66"/>
      <c r="N42" s="66"/>
      <c r="O42" s="66"/>
      <c r="P42" s="66"/>
      <c r="Q42" s="66"/>
      <c r="R42" s="66"/>
      <c r="S42" s="66"/>
    </row>
    <row r="43" spans="1:19" x14ac:dyDescent="0.25">
      <c r="A43" s="62" t="s">
        <v>51</v>
      </c>
      <c r="B43" s="62" t="s">
        <v>40</v>
      </c>
      <c r="C43" s="62" t="s">
        <v>52</v>
      </c>
      <c r="D43" s="62" t="s">
        <v>53</v>
      </c>
      <c r="E43" s="77" t="s">
        <v>54</v>
      </c>
      <c r="F43" s="78"/>
      <c r="G43" s="78"/>
      <c r="H43" s="78"/>
      <c r="I43" s="78"/>
      <c r="J43" s="78"/>
      <c r="K43" s="79"/>
      <c r="L43" s="8"/>
      <c r="M43" s="66"/>
      <c r="N43" s="66"/>
      <c r="O43" s="66"/>
      <c r="P43" s="66"/>
      <c r="Q43" s="66"/>
      <c r="R43" s="66"/>
      <c r="S43" s="66"/>
    </row>
    <row r="44" spans="1:19" x14ac:dyDescent="0.25">
      <c r="A44" s="51"/>
      <c r="B44" s="42"/>
      <c r="C44" s="44"/>
      <c r="D44" s="52"/>
      <c r="E44" s="74" t="s">
        <v>55</v>
      </c>
      <c r="F44" s="75"/>
      <c r="G44" s="75"/>
      <c r="H44" s="75"/>
      <c r="I44" s="75"/>
      <c r="J44" s="75"/>
      <c r="K44" s="76"/>
      <c r="L44" s="8"/>
      <c r="M44" s="66"/>
      <c r="N44" s="66"/>
      <c r="O44" s="66"/>
      <c r="P44" s="66"/>
      <c r="Q44" s="66"/>
      <c r="R44" s="66"/>
      <c r="S44" s="66"/>
    </row>
    <row r="45" spans="1:19" x14ac:dyDescent="0.25">
      <c r="A45" s="53" t="s">
        <v>56</v>
      </c>
      <c r="B45" s="54"/>
      <c r="C45" s="54"/>
      <c r="D45" s="54"/>
      <c r="E45" s="10"/>
      <c r="F45" s="10"/>
      <c r="G45" s="10"/>
      <c r="H45" s="10"/>
      <c r="I45" s="10"/>
      <c r="J45" s="10"/>
      <c r="K45" s="10"/>
      <c r="L45" s="8"/>
      <c r="M45" s="66"/>
      <c r="N45" s="66"/>
      <c r="O45" s="66"/>
      <c r="P45" s="66"/>
      <c r="Q45" s="66"/>
      <c r="R45" s="66"/>
      <c r="S45" s="66"/>
    </row>
    <row r="46" spans="1:19" x14ac:dyDescent="0.25">
      <c r="A46" s="54"/>
      <c r="B46" s="54"/>
      <c r="C46" s="54"/>
      <c r="D46" s="54"/>
      <c r="E46" s="10"/>
      <c r="F46" s="10"/>
      <c r="G46" s="10"/>
      <c r="H46" s="10"/>
      <c r="I46" s="10"/>
      <c r="J46" s="10"/>
      <c r="K46" s="10"/>
      <c r="L46" s="8"/>
      <c r="M46" s="66"/>
      <c r="N46" s="66"/>
      <c r="O46" s="66"/>
      <c r="P46" s="66"/>
      <c r="Q46" s="66"/>
      <c r="R46" s="66"/>
      <c r="S46" s="66"/>
    </row>
    <row r="47" spans="1:19" x14ac:dyDescent="0.25">
      <c r="A47" s="54"/>
      <c r="B47" s="54"/>
      <c r="C47" s="54"/>
      <c r="D47" s="54"/>
      <c r="E47" s="10"/>
      <c r="F47" s="10"/>
      <c r="G47" s="10"/>
      <c r="H47" s="10"/>
      <c r="I47" s="10"/>
      <c r="J47" s="10"/>
      <c r="K47" s="10"/>
      <c r="L47" s="8"/>
      <c r="M47" s="66"/>
      <c r="N47" s="66"/>
      <c r="O47" s="66"/>
      <c r="P47" s="66"/>
      <c r="Q47" s="66"/>
      <c r="R47" s="66"/>
      <c r="S47" s="66"/>
    </row>
    <row r="48" spans="1:19" x14ac:dyDescent="0.25">
      <c r="A48" s="54"/>
      <c r="B48" s="54"/>
      <c r="C48" s="54"/>
      <c r="D48" s="54"/>
      <c r="E48" s="10"/>
      <c r="F48" s="10"/>
      <c r="G48" s="10"/>
      <c r="H48" s="10"/>
      <c r="I48" s="10"/>
      <c r="J48" s="10"/>
      <c r="K48" s="10"/>
      <c r="L48" s="8"/>
      <c r="M48" s="66"/>
      <c r="N48" s="66"/>
      <c r="O48" s="66"/>
      <c r="P48" s="66"/>
      <c r="Q48" s="66"/>
      <c r="R48" s="66"/>
      <c r="S48" s="66"/>
    </row>
    <row r="49" spans="1:19" x14ac:dyDescent="0.25">
      <c r="A49" s="54"/>
      <c r="B49" s="54"/>
      <c r="C49" s="54"/>
      <c r="D49" s="54"/>
      <c r="E49" s="10"/>
      <c r="F49" s="10"/>
      <c r="G49" s="10"/>
      <c r="H49" s="10"/>
      <c r="I49" s="10"/>
      <c r="J49" s="10"/>
      <c r="K49" s="10"/>
      <c r="L49" s="8"/>
      <c r="M49" s="66"/>
      <c r="N49" s="66"/>
      <c r="O49" s="66"/>
      <c r="P49" s="66"/>
      <c r="Q49" s="66"/>
      <c r="R49" s="66"/>
      <c r="S49" s="66"/>
    </row>
    <row r="50" spans="1:19" x14ac:dyDescent="0.25">
      <c r="A50" s="54"/>
      <c r="B50" s="54"/>
      <c r="C50" s="54"/>
      <c r="D50" s="54"/>
      <c r="E50" s="10"/>
      <c r="F50" s="10"/>
      <c r="G50" s="10"/>
      <c r="H50" s="10"/>
      <c r="I50" s="10"/>
      <c r="J50" s="10"/>
      <c r="K50" s="10"/>
      <c r="L50" s="8"/>
      <c r="M50" s="66"/>
      <c r="N50" s="66"/>
      <c r="O50" s="66"/>
      <c r="P50" s="66"/>
      <c r="Q50" s="66"/>
      <c r="R50" s="66"/>
      <c r="S50" s="66"/>
    </row>
    <row r="51" spans="1:19" x14ac:dyDescent="0.25">
      <c r="A51" s="54"/>
      <c r="B51" s="54"/>
      <c r="C51" s="54"/>
      <c r="D51" s="54"/>
      <c r="E51" s="10"/>
      <c r="F51" s="10"/>
      <c r="G51" s="10"/>
      <c r="H51" s="10"/>
      <c r="I51" s="10"/>
      <c r="J51" s="10"/>
      <c r="K51" s="10"/>
      <c r="L51" s="8"/>
      <c r="M51" s="66"/>
      <c r="N51" s="66"/>
      <c r="O51" s="66"/>
      <c r="P51" s="66"/>
      <c r="Q51" s="66"/>
      <c r="R51" s="66"/>
      <c r="S51" s="66"/>
    </row>
    <row r="52" spans="1:19" x14ac:dyDescent="0.25">
      <c r="A52" s="54"/>
      <c r="B52" s="54"/>
      <c r="C52" s="54"/>
      <c r="D52" s="54"/>
      <c r="E52" s="10"/>
      <c r="F52" s="10"/>
      <c r="G52" s="10"/>
      <c r="H52" s="10"/>
      <c r="I52" s="10"/>
      <c r="J52" s="10"/>
      <c r="K52" s="10"/>
      <c r="L52" s="8"/>
      <c r="M52" s="66"/>
      <c r="N52" s="66"/>
      <c r="O52" s="66"/>
      <c r="P52" s="66"/>
      <c r="Q52" s="66"/>
      <c r="R52" s="66"/>
      <c r="S52" s="66"/>
    </row>
    <row r="53" spans="1:19" x14ac:dyDescent="0.25">
      <c r="A53" s="54"/>
      <c r="B53" s="54"/>
      <c r="C53" s="54"/>
      <c r="D53" s="54"/>
      <c r="E53" s="10"/>
      <c r="F53" s="10"/>
      <c r="G53" s="10"/>
      <c r="H53" s="10"/>
      <c r="I53" s="10"/>
      <c r="J53" s="10"/>
      <c r="K53" s="10"/>
      <c r="L53" s="8"/>
      <c r="M53" s="66"/>
      <c r="N53" s="66"/>
      <c r="O53" s="66"/>
      <c r="P53" s="66"/>
      <c r="Q53" s="66"/>
      <c r="R53" s="66"/>
      <c r="S53" s="66"/>
    </row>
    <row r="54" spans="1:19" x14ac:dyDescent="0.25">
      <c r="A54" s="54"/>
      <c r="B54" s="54"/>
      <c r="C54" s="54"/>
      <c r="D54" s="54"/>
      <c r="E54" s="10"/>
      <c r="F54" s="10"/>
      <c r="G54" s="10"/>
      <c r="H54" s="10"/>
      <c r="I54" s="10"/>
      <c r="J54" s="10"/>
      <c r="K54" s="10"/>
      <c r="L54" s="8"/>
      <c r="M54" s="66"/>
      <c r="N54" s="66"/>
      <c r="O54" s="66"/>
      <c r="P54" s="66"/>
      <c r="Q54" s="66"/>
      <c r="R54" s="66"/>
      <c r="S54" s="66"/>
    </row>
    <row r="55" spans="1:19" x14ac:dyDescent="0.25">
      <c r="A55" s="55"/>
      <c r="B55" s="55"/>
      <c r="C55" s="55"/>
      <c r="D55" s="55"/>
      <c r="E55" s="56"/>
      <c r="F55" s="56"/>
      <c r="G55" s="56"/>
      <c r="H55" s="56"/>
      <c r="I55" s="56"/>
      <c r="J55" s="56"/>
      <c r="K55" s="56"/>
      <c r="L55" s="8"/>
      <c r="M55" s="66"/>
      <c r="N55" s="66"/>
      <c r="O55" s="66"/>
      <c r="P55" s="66"/>
      <c r="Q55" s="66"/>
      <c r="R55" s="66"/>
      <c r="S55" s="66"/>
    </row>
    <row r="56" spans="1:19" x14ac:dyDescent="0.25">
      <c r="A56" s="55"/>
      <c r="B56" s="55"/>
      <c r="C56" s="55"/>
      <c r="D56" s="55"/>
      <c r="E56" s="56"/>
      <c r="F56" s="56"/>
      <c r="G56" s="56"/>
      <c r="H56" s="56"/>
      <c r="I56" s="56"/>
      <c r="J56" s="56"/>
      <c r="K56" s="56"/>
      <c r="L56" s="8"/>
      <c r="M56" s="66"/>
      <c r="N56" s="66"/>
      <c r="O56" s="66"/>
      <c r="P56" s="66"/>
      <c r="Q56" s="66"/>
      <c r="R56" s="66"/>
      <c r="S56" s="66"/>
    </row>
    <row r="57" spans="1:19" x14ac:dyDescent="0.25">
      <c r="A57" s="55"/>
      <c r="B57" s="55"/>
      <c r="C57" s="55"/>
      <c r="D57" s="55"/>
      <c r="E57" s="56"/>
      <c r="F57" s="56"/>
      <c r="G57" s="56"/>
      <c r="H57" s="56"/>
      <c r="I57" s="56"/>
      <c r="J57" s="56"/>
      <c r="K57" s="56"/>
      <c r="L57" s="8"/>
      <c r="M57" s="66"/>
      <c r="N57" s="66"/>
      <c r="O57" s="66"/>
      <c r="P57" s="66"/>
      <c r="Q57" s="66"/>
      <c r="R57" s="66"/>
      <c r="S57" s="66"/>
    </row>
    <row r="58" spans="1:19" x14ac:dyDescent="0.25">
      <c r="A58" s="55"/>
      <c r="B58" s="55"/>
      <c r="C58" s="55"/>
      <c r="D58" s="55"/>
      <c r="E58" s="56"/>
      <c r="F58" s="56"/>
      <c r="G58" s="56"/>
      <c r="H58" s="56"/>
      <c r="I58" s="56"/>
      <c r="J58" s="56"/>
      <c r="K58" s="56"/>
      <c r="L58" s="8"/>
      <c r="M58" s="66"/>
      <c r="N58" s="66"/>
      <c r="O58" s="66"/>
      <c r="P58" s="66"/>
      <c r="Q58" s="66"/>
      <c r="R58" s="66"/>
      <c r="S58" s="66"/>
    </row>
    <row r="59" spans="1:19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66"/>
      <c r="N59" s="66"/>
      <c r="O59" s="66"/>
      <c r="P59" s="66"/>
      <c r="Q59" s="66"/>
      <c r="R59" s="66"/>
      <c r="S59" s="66"/>
    </row>
    <row r="60" spans="1:19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66"/>
      <c r="N60" s="66"/>
      <c r="O60" s="66"/>
      <c r="P60" s="66"/>
      <c r="Q60" s="66"/>
      <c r="R60" s="66"/>
      <c r="S60" s="66"/>
    </row>
    <row r="61" spans="1:19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66"/>
      <c r="N61" s="66"/>
      <c r="O61" s="66"/>
      <c r="P61" s="66"/>
      <c r="Q61" s="66"/>
      <c r="R61" s="66"/>
      <c r="S61" s="66"/>
    </row>
  </sheetData>
  <mergeCells count="16">
    <mergeCell ref="E39:K39"/>
    <mergeCell ref="E40:K40"/>
    <mergeCell ref="E43:K43"/>
    <mergeCell ref="E44:K44"/>
    <mergeCell ref="A22:H22"/>
    <mergeCell ref="A26:K26"/>
    <mergeCell ref="A34:K34"/>
    <mergeCell ref="G35:K35"/>
    <mergeCell ref="G36:K36"/>
    <mergeCell ref="A38:K38"/>
    <mergeCell ref="B20:F20"/>
    <mergeCell ref="A5:C5"/>
    <mergeCell ref="I5:K5"/>
    <mergeCell ref="I6:K6"/>
    <mergeCell ref="I7:K7"/>
    <mergeCell ref="A14:F14"/>
  </mergeCells>
  <conditionalFormatting sqref="B16:F19">
    <cfRule type="dataBar" priority="3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{F47B48E0-E636-443B-A814-B611603D16B8}</x14:id>
        </ext>
      </extLst>
    </cfRule>
    <cfRule type="dataBar" priority="4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{5E79ED3E-3C95-4180-AB37-F908CF75237D}</x14:id>
        </ext>
      </extLst>
    </cfRule>
  </conditionalFormatting>
  <conditionalFormatting sqref="H28:K28 H29:J31">
    <cfRule type="dataBar" priority="5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{0055D371-73DE-44F0-A736-90E584F9A437}</x14:id>
        </ext>
      </extLst>
    </cfRule>
    <cfRule type="dataBar" priority="6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{092FB2A7-E1E8-4464-B548-453774FA46E7}</x14:id>
        </ext>
      </extLst>
    </cfRule>
  </conditionalFormatting>
  <conditionalFormatting sqref="K29">
    <cfRule type="dataBar" priority="1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{67C2808C-AD94-44E4-B291-E1D410A59E94}</x14:id>
        </ext>
      </extLst>
    </cfRule>
    <cfRule type="dataBar" priority="2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{4C5DCB2C-18D5-41A3-8946-CD8C5F9F9F62}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7B48E0-E636-443B-A814-B611603D16B8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5E79ED3E-3C95-4180-AB37-F908CF75237D}">
            <x14:dataBar minLength="0" maxLength="100" gradient="0" negativeBarColorSameAsPositive="1" axisPosition="none">
              <x14:cfvo type="min"/>
              <x14:cfvo type="max"/>
            </x14:dataBar>
          </x14:cfRule>
          <xm:sqref>B16:F19</xm:sqref>
        </x14:conditionalFormatting>
        <x14:conditionalFormatting xmlns:xm="http://schemas.microsoft.com/office/excel/2006/main">
          <x14:cfRule type="dataBar" id="{0055D371-73DE-44F0-A736-90E584F9A437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092FB2A7-E1E8-4464-B548-453774FA46E7}">
            <x14:dataBar minLength="0" maxLength="100" gradient="0" negativeBarColorSameAsPositive="1" axisPosition="none">
              <x14:cfvo type="min"/>
              <x14:cfvo type="max"/>
            </x14:dataBar>
          </x14:cfRule>
          <xm:sqref>H28:K28 H29:J31</xm:sqref>
        </x14:conditionalFormatting>
        <x14:conditionalFormatting xmlns:xm="http://schemas.microsoft.com/office/excel/2006/main">
          <x14:cfRule type="dataBar" id="{67C2808C-AD94-44E4-B291-E1D410A59E94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4C5DCB2C-18D5-41A3-8946-CD8C5F9F9F62}">
            <x14:dataBar minLength="0" maxLength="100" gradient="0" negativeBarColorSameAsPositive="1" axisPosition="none">
              <x14:cfvo type="min"/>
              <x14:cfvo type="max"/>
            </x14:dataBar>
          </x14:cfRule>
          <xm:sqref>K29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42215-5DE9-4675-A230-BD47CA8E930B}">
  <sheetPr codeName="Sheet3"/>
  <dimension ref="A1:AA61"/>
  <sheetViews>
    <sheetView topLeftCell="A17" zoomScale="130" zoomScaleNormal="130" workbookViewId="0">
      <selection activeCell="F32" sqref="F32"/>
    </sheetView>
  </sheetViews>
  <sheetFormatPr defaultRowHeight="15" x14ac:dyDescent="0.25"/>
  <cols>
    <col min="1" max="1" width="16.7109375" style="5" customWidth="1"/>
    <col min="2" max="2" width="19.5703125" style="5" customWidth="1"/>
    <col min="3" max="3" width="15.140625" style="5" customWidth="1"/>
    <col min="4" max="4" width="13.28515625" style="5" customWidth="1"/>
    <col min="5" max="5" width="12.5703125" style="5" customWidth="1"/>
    <col min="6" max="6" width="21.42578125" style="5" customWidth="1"/>
    <col min="7" max="7" width="38.42578125" style="5" customWidth="1"/>
    <col min="8" max="12" width="9.140625" style="5"/>
    <col min="28" max="16384" width="9.140625" style="5"/>
  </cols>
  <sheetData>
    <row r="1" spans="1:19" ht="15.75" x14ac:dyDescent="0.25">
      <c r="A1" s="3"/>
      <c r="B1" s="4"/>
      <c r="C1" s="4"/>
      <c r="D1" s="3"/>
      <c r="E1" s="2"/>
      <c r="F1" s="2" t="s">
        <v>63</v>
      </c>
      <c r="G1" s="4"/>
      <c r="H1" s="4"/>
      <c r="I1" s="4"/>
      <c r="J1" s="4"/>
      <c r="K1" s="4"/>
    </row>
    <row r="2" spans="1:19" ht="15.75" x14ac:dyDescent="0.25">
      <c r="A2" s="4"/>
      <c r="B2" s="4"/>
      <c r="C2" s="4"/>
      <c r="D2" s="3"/>
      <c r="E2" s="6"/>
      <c r="F2" s="2" t="s">
        <v>64</v>
      </c>
      <c r="G2" s="3"/>
      <c r="H2" s="3"/>
      <c r="I2" s="4"/>
      <c r="J2" s="4"/>
      <c r="K2" s="4"/>
    </row>
    <row r="3" spans="1:19" x14ac:dyDescent="0.25">
      <c r="A3" s="8"/>
      <c r="B3" s="8"/>
      <c r="C3" s="9"/>
      <c r="D3" s="10"/>
      <c r="E3" s="11"/>
      <c r="F3" s="7" t="s">
        <v>59</v>
      </c>
      <c r="G3" s="9"/>
      <c r="H3" s="9"/>
      <c r="I3" s="9"/>
      <c r="J3" s="9"/>
      <c r="K3" s="9"/>
    </row>
    <row r="4" spans="1:19" ht="33" customHeight="1" x14ac:dyDescent="0.25">
      <c r="A4" s="8"/>
      <c r="B4" s="8"/>
      <c r="C4" s="8"/>
      <c r="D4" s="10"/>
      <c r="E4" s="12"/>
      <c r="F4" s="12" t="str">
        <f ca="1">IF(COUNTA(B28:B31)=0, "Reporting Period: " &amp; YEAR(TODAY()),
    IF(COUNTA(B28:B31)=1, "Reporting Period: January - March " &amp; YEAR(TODAY()),
    IF(COUNTA(B28:B31)=2, "Reporting Period: April - June " &amp; YEAR(TODAY()),
    IF(COUNTA(B28:B31)=3, "Reporting Period: July - September " &amp; YEAR(TODAY()),
    "Reporting Period: October - December " &amp; YEAR(TODAY())))))</f>
        <v>Reporting Period: 2024</v>
      </c>
      <c r="G4" s="13"/>
      <c r="H4" s="13"/>
      <c r="I4" s="13"/>
      <c r="J4" s="13"/>
      <c r="K4" s="13"/>
    </row>
    <row r="5" spans="1:19" x14ac:dyDescent="0.25">
      <c r="A5" s="80" t="s">
        <v>1</v>
      </c>
      <c r="B5" s="81"/>
      <c r="C5" s="82"/>
      <c r="D5" s="14"/>
      <c r="E5" s="14"/>
      <c r="F5" s="8"/>
      <c r="G5" s="15"/>
      <c r="H5" s="15"/>
      <c r="I5" s="88"/>
      <c r="J5" s="88"/>
      <c r="K5" s="88"/>
    </row>
    <row r="6" spans="1:19" x14ac:dyDescent="0.25">
      <c r="A6" s="16"/>
      <c r="B6" s="17" t="s">
        <v>2</v>
      </c>
      <c r="C6" s="18">
        <v>14.4</v>
      </c>
      <c r="D6" s="19"/>
      <c r="E6" s="19"/>
      <c r="F6" s="8"/>
      <c r="G6" s="15"/>
      <c r="H6" s="15"/>
      <c r="I6" s="88"/>
      <c r="J6" s="88"/>
      <c r="K6" s="88"/>
    </row>
    <row r="7" spans="1:19" x14ac:dyDescent="0.25">
      <c r="A7" s="16"/>
      <c r="B7" s="17" t="s">
        <v>3</v>
      </c>
      <c r="C7" s="18">
        <v>10</v>
      </c>
      <c r="D7" s="19"/>
      <c r="E7" s="19"/>
      <c r="F7" s="8"/>
      <c r="G7" s="15"/>
      <c r="H7" s="15"/>
      <c r="I7" s="88"/>
      <c r="J7" s="88"/>
      <c r="K7" s="88"/>
    </row>
    <row r="8" spans="1:19" x14ac:dyDescent="0.25">
      <c r="A8" s="16"/>
      <c r="B8" s="17" t="s">
        <v>4</v>
      </c>
      <c r="C8" s="20">
        <v>4</v>
      </c>
      <c r="D8" s="21"/>
      <c r="E8" s="21"/>
      <c r="F8" s="8"/>
      <c r="G8" s="15"/>
      <c r="H8" s="8"/>
      <c r="I8" s="8"/>
      <c r="J8" s="8"/>
      <c r="K8" s="8"/>
    </row>
    <row r="9" spans="1:19" x14ac:dyDescent="0.25">
      <c r="A9" s="16"/>
      <c r="B9" s="17" t="s">
        <v>5</v>
      </c>
      <c r="C9" s="22">
        <v>38556</v>
      </c>
      <c r="D9" s="21"/>
      <c r="E9" s="21"/>
      <c r="F9" s="8"/>
      <c r="G9" s="15"/>
      <c r="H9" s="8"/>
      <c r="I9" s="8"/>
      <c r="J9" s="8"/>
      <c r="K9" s="8"/>
    </row>
    <row r="10" spans="1:19" x14ac:dyDescent="0.25">
      <c r="A10" s="16"/>
      <c r="B10" s="17" t="s">
        <v>6</v>
      </c>
      <c r="C10" s="20">
        <v>4</v>
      </c>
      <c r="D10" s="21"/>
      <c r="E10" s="21"/>
      <c r="F10" s="8"/>
      <c r="G10" s="15"/>
      <c r="H10" s="8"/>
      <c r="I10" s="8"/>
      <c r="J10" s="8"/>
      <c r="K10" s="8"/>
    </row>
    <row r="11" spans="1:19" x14ac:dyDescent="0.25">
      <c r="A11" s="16"/>
      <c r="B11" s="17" t="s">
        <v>7</v>
      </c>
      <c r="C11" s="20">
        <v>39</v>
      </c>
      <c r="D11" s="21"/>
      <c r="E11" s="21"/>
      <c r="F11" s="8"/>
      <c r="G11" s="15"/>
      <c r="H11" s="8"/>
      <c r="I11" s="8"/>
      <c r="J11" s="8"/>
      <c r="K11" s="8"/>
    </row>
    <row r="12" spans="1:19" x14ac:dyDescent="0.25">
      <c r="A12" s="23"/>
      <c r="B12" s="23"/>
      <c r="C12" s="24"/>
      <c r="D12" s="21"/>
      <c r="E12" s="21"/>
      <c r="F12" s="8"/>
      <c r="G12" s="8"/>
      <c r="H12" s="8"/>
      <c r="I12" s="8"/>
      <c r="J12" s="8"/>
      <c r="K12" s="8"/>
    </row>
    <row r="13" spans="1:19" x14ac:dyDescent="0.25">
      <c r="A13" s="25"/>
      <c r="B13" s="25"/>
      <c r="C13" s="26"/>
      <c r="D13" s="21"/>
      <c r="E13" s="21"/>
      <c r="F13" s="8"/>
      <c r="G13" s="8"/>
      <c r="H13" s="8"/>
      <c r="I13" s="8"/>
      <c r="J13" s="8"/>
      <c r="K13" s="8"/>
    </row>
    <row r="14" spans="1:19" x14ac:dyDescent="0.25">
      <c r="A14" s="89" t="s">
        <v>8</v>
      </c>
      <c r="B14" s="89"/>
      <c r="C14" s="89"/>
      <c r="D14" s="89"/>
      <c r="E14" s="89"/>
      <c r="F14" s="89"/>
      <c r="G14" s="8"/>
      <c r="H14" s="8"/>
      <c r="I14" s="8"/>
      <c r="J14" s="8"/>
      <c r="K14" s="8"/>
      <c r="L14" s="8"/>
      <c r="M14" s="66"/>
      <c r="N14" s="66"/>
      <c r="O14" s="66"/>
      <c r="P14" s="66"/>
      <c r="Q14" s="66"/>
      <c r="R14" s="66"/>
      <c r="S14" s="66"/>
    </row>
    <row r="15" spans="1:19" ht="16.5" x14ac:dyDescent="0.25">
      <c r="A15" s="60" t="s">
        <v>9</v>
      </c>
      <c r="B15" s="60" t="s">
        <v>10</v>
      </c>
      <c r="C15" s="60" t="s">
        <v>11</v>
      </c>
      <c r="D15" s="60" t="s">
        <v>12</v>
      </c>
      <c r="E15" s="60" t="s">
        <v>13</v>
      </c>
      <c r="F15" s="60" t="s">
        <v>14</v>
      </c>
      <c r="G15" s="8"/>
      <c r="H15" s="8"/>
      <c r="I15" s="8"/>
      <c r="J15" s="8"/>
      <c r="K15" s="8"/>
      <c r="L15" s="8"/>
      <c r="M15" s="66"/>
      <c r="N15" s="67"/>
      <c r="O15" s="68"/>
      <c r="P15" s="66"/>
      <c r="Q15" s="66"/>
      <c r="R15" s="66"/>
      <c r="S15" s="66"/>
    </row>
    <row r="16" spans="1:19" x14ac:dyDescent="0.25">
      <c r="A16" s="29" t="s">
        <v>15</v>
      </c>
      <c r="B16" s="30"/>
      <c r="C16" s="30"/>
      <c r="D16" s="30"/>
      <c r="E16" s="30"/>
      <c r="F16" s="30"/>
      <c r="G16" s="8"/>
      <c r="H16" s="8"/>
      <c r="I16" s="8"/>
      <c r="J16" s="8"/>
      <c r="K16" s="8"/>
      <c r="L16" s="8"/>
      <c r="M16" s="66"/>
      <c r="N16" s="67"/>
      <c r="O16" s="68"/>
      <c r="P16" s="66"/>
      <c r="Q16" s="66"/>
      <c r="R16" s="66"/>
      <c r="S16" s="66"/>
    </row>
    <row r="17" spans="1:19" x14ac:dyDescent="0.25">
      <c r="A17" s="29" t="s">
        <v>16</v>
      </c>
      <c r="B17" s="30"/>
      <c r="C17" s="30"/>
      <c r="D17" s="30"/>
      <c r="E17" s="30"/>
      <c r="F17" s="30"/>
      <c r="G17" s="8"/>
      <c r="H17" s="8"/>
      <c r="I17" s="8"/>
      <c r="J17" s="8"/>
      <c r="K17" s="8"/>
      <c r="L17" s="8"/>
      <c r="M17" s="66"/>
      <c r="N17" s="67"/>
      <c r="O17" s="68"/>
      <c r="P17" s="66"/>
      <c r="Q17" s="66"/>
      <c r="R17" s="66"/>
      <c r="S17" s="66"/>
    </row>
    <row r="18" spans="1:19" x14ac:dyDescent="0.25">
      <c r="A18" s="29" t="s">
        <v>17</v>
      </c>
      <c r="B18" s="30"/>
      <c r="C18" s="30"/>
      <c r="D18" s="30"/>
      <c r="E18" s="30"/>
      <c r="F18" s="30"/>
      <c r="G18" s="8"/>
      <c r="H18" s="8"/>
      <c r="I18" s="8"/>
      <c r="J18" s="8"/>
      <c r="K18" s="8"/>
      <c r="L18" s="8"/>
      <c r="M18" s="66"/>
      <c r="N18" s="67"/>
      <c r="O18" s="68"/>
      <c r="P18" s="66"/>
      <c r="Q18" s="66"/>
      <c r="R18" s="66"/>
      <c r="S18" s="66"/>
    </row>
    <row r="19" spans="1:19" x14ac:dyDescent="0.25">
      <c r="A19" s="29" t="s">
        <v>18</v>
      </c>
      <c r="B19" s="30"/>
      <c r="C19" s="30"/>
      <c r="D19" s="30"/>
      <c r="E19" s="30"/>
      <c r="F19" s="30"/>
      <c r="G19" s="8"/>
      <c r="H19" s="8"/>
      <c r="I19" s="8"/>
      <c r="J19" s="8"/>
      <c r="K19" s="8"/>
      <c r="L19" s="8"/>
      <c r="M19" s="66"/>
      <c r="N19" s="67"/>
      <c r="O19" s="68"/>
      <c r="P19" s="66"/>
      <c r="Q19" s="66"/>
      <c r="R19" s="66"/>
      <c r="S19" s="66"/>
    </row>
    <row r="20" spans="1:19" x14ac:dyDescent="0.25">
      <c r="A20" s="31" t="s">
        <v>19</v>
      </c>
      <c r="B20" s="90"/>
      <c r="C20" s="90"/>
      <c r="D20" s="90"/>
      <c r="E20" s="90"/>
      <c r="F20" s="90"/>
      <c r="G20" s="8"/>
      <c r="H20" s="8"/>
      <c r="I20" s="8"/>
      <c r="J20" s="8"/>
      <c r="K20" s="8"/>
      <c r="L20" s="8"/>
      <c r="M20" s="66"/>
      <c r="N20" s="67"/>
      <c r="O20" s="68"/>
      <c r="P20" s="66"/>
      <c r="Q20" s="66"/>
      <c r="R20" s="66"/>
      <c r="S20" s="66"/>
    </row>
    <row r="21" spans="1:19" x14ac:dyDescent="0.25">
      <c r="A21" s="32"/>
      <c r="B21" s="32"/>
      <c r="C21" s="33"/>
      <c r="D21" s="34"/>
      <c r="E21" s="34"/>
      <c r="F21" s="8"/>
      <c r="G21" s="8"/>
      <c r="H21" s="8"/>
      <c r="I21" s="8"/>
      <c r="J21" s="8"/>
      <c r="K21" s="8"/>
      <c r="L21" s="8"/>
      <c r="M21" s="66"/>
      <c r="N21" s="67"/>
      <c r="O21" s="68"/>
      <c r="P21" s="66"/>
      <c r="Q21" s="66"/>
      <c r="R21" s="66"/>
      <c r="S21" s="66"/>
    </row>
    <row r="22" spans="1:19" x14ac:dyDescent="0.25">
      <c r="A22" s="80" t="s">
        <v>20</v>
      </c>
      <c r="B22" s="81"/>
      <c r="C22" s="81"/>
      <c r="D22" s="81"/>
      <c r="E22" s="81"/>
      <c r="F22" s="81"/>
      <c r="G22" s="81"/>
      <c r="H22" s="82"/>
      <c r="I22" s="8"/>
      <c r="J22" s="8"/>
      <c r="K22" s="27"/>
      <c r="L22" s="28"/>
      <c r="M22" s="66"/>
      <c r="N22" s="66"/>
      <c r="O22" s="66"/>
      <c r="P22" s="66"/>
      <c r="Q22" s="66"/>
      <c r="R22" s="66"/>
      <c r="S22" s="66"/>
    </row>
    <row r="23" spans="1:19" ht="56.25" x14ac:dyDescent="0.25">
      <c r="A23" s="61" t="s">
        <v>21</v>
      </c>
      <c r="B23" s="61" t="s">
        <v>22</v>
      </c>
      <c r="C23" s="61" t="s">
        <v>23</v>
      </c>
      <c r="D23" s="61" t="s">
        <v>24</v>
      </c>
      <c r="E23" s="61" t="s">
        <v>25</v>
      </c>
      <c r="F23" s="61" t="s">
        <v>26</v>
      </c>
      <c r="G23" s="61" t="s">
        <v>27</v>
      </c>
      <c r="H23" s="61" t="s">
        <v>28</v>
      </c>
      <c r="I23" s="8"/>
      <c r="J23" s="8"/>
      <c r="K23" s="27"/>
      <c r="L23" s="28"/>
      <c r="M23" s="66"/>
      <c r="N23" s="66"/>
      <c r="O23" s="66"/>
      <c r="P23" s="66"/>
      <c r="Q23" s="66"/>
      <c r="R23" s="66"/>
      <c r="S23" s="66"/>
    </row>
    <row r="24" spans="1:19" x14ac:dyDescent="0.25">
      <c r="A24" s="35" t="e" cm="1">
        <f t="array" ref="A24">LOOKUP(2,1/(H28:H31&lt;&gt;""),H28:H31)</f>
        <v>#N/A</v>
      </c>
      <c r="B24" s="35" t="e" cm="1">
        <f t="array" ref="B24">LOOKUP(2,1/(I28:I31&lt;&gt;""),I28:I31)</f>
        <v>#N/A</v>
      </c>
      <c r="C24" s="35" t="e" cm="1">
        <f t="array" ref="C24">LOOKUP(2,1/(J28:J31&lt;&gt;""),J28:J31)</f>
        <v>#N/A</v>
      </c>
      <c r="D24" s="35" t="e" cm="1">
        <f t="array" ref="D24">LOOKUP(2,1/(K28:K31&lt;&gt;""),K28:K31)</f>
        <v>#N/A</v>
      </c>
      <c r="E24" s="36">
        <v>1</v>
      </c>
      <c r="F24" s="36">
        <v>1</v>
      </c>
      <c r="G24" s="37">
        <v>0</v>
      </c>
      <c r="H24" s="37">
        <v>0</v>
      </c>
      <c r="I24" s="8"/>
      <c r="J24" s="8"/>
      <c r="K24" s="27"/>
      <c r="L24" s="28"/>
      <c r="M24" s="66"/>
      <c r="N24" s="66"/>
      <c r="O24" s="66"/>
      <c r="P24" s="66"/>
      <c r="Q24" s="66"/>
      <c r="R24" s="66"/>
      <c r="S24" s="66"/>
    </row>
    <row r="25" spans="1:19" x14ac:dyDescent="0.25">
      <c r="G25" s="8"/>
      <c r="H25" s="8"/>
      <c r="I25" s="8"/>
      <c r="J25" s="8"/>
      <c r="K25" s="8"/>
      <c r="L25" s="8"/>
      <c r="M25" s="66"/>
      <c r="N25" s="67"/>
      <c r="O25" s="68"/>
      <c r="P25" s="66"/>
      <c r="Q25" s="66"/>
      <c r="R25" s="66"/>
      <c r="S25" s="66"/>
    </row>
    <row r="26" spans="1:19" x14ac:dyDescent="0.25">
      <c r="A26" s="83" t="s">
        <v>29</v>
      </c>
      <c r="B26" s="84"/>
      <c r="C26" s="84"/>
      <c r="D26" s="84"/>
      <c r="E26" s="84"/>
      <c r="F26" s="84"/>
      <c r="G26" s="84"/>
      <c r="H26" s="84"/>
      <c r="I26" s="84"/>
      <c r="J26" s="84"/>
      <c r="K26" s="85"/>
      <c r="L26" s="8"/>
      <c r="M26" s="66"/>
      <c r="N26" s="69" t="str">
        <f>I27</f>
        <v>Performance Index (%)</v>
      </c>
      <c r="O26" s="68"/>
      <c r="P26" s="66"/>
      <c r="Q26" s="66"/>
      <c r="R26" s="66"/>
      <c r="S26" s="66"/>
    </row>
    <row r="27" spans="1:19" ht="24.75" x14ac:dyDescent="0.25">
      <c r="A27" s="60" t="s">
        <v>30</v>
      </c>
      <c r="B27" s="60" t="s">
        <v>31</v>
      </c>
      <c r="C27" s="60" t="s">
        <v>32</v>
      </c>
      <c r="D27" s="60" t="s">
        <v>33</v>
      </c>
      <c r="E27" s="60" t="s">
        <v>34</v>
      </c>
      <c r="F27" s="60" t="s">
        <v>35</v>
      </c>
      <c r="G27" s="60" t="s">
        <v>36</v>
      </c>
      <c r="H27" s="60" t="s">
        <v>21</v>
      </c>
      <c r="I27" s="60" t="s">
        <v>22</v>
      </c>
      <c r="J27" s="60" t="s">
        <v>23</v>
      </c>
      <c r="K27" s="60" t="s">
        <v>24</v>
      </c>
      <c r="L27" s="8"/>
      <c r="M27" s="70"/>
      <c r="N27" s="70" t="s">
        <v>0</v>
      </c>
      <c r="O27" s="70" t="s">
        <v>37</v>
      </c>
      <c r="P27" s="66"/>
      <c r="Q27" s="66"/>
      <c r="R27" s="66"/>
      <c r="S27" s="66"/>
    </row>
    <row r="28" spans="1:19" x14ac:dyDescent="0.25">
      <c r="A28" s="29" t="s">
        <v>15</v>
      </c>
      <c r="B28" s="38"/>
      <c r="C28" s="39"/>
      <c r="D28" s="39" t="str">
        <f>IF(B28="","",J28*C28)</f>
        <v/>
      </c>
      <c r="E28" s="39"/>
      <c r="F28" s="39" t="str">
        <f>IF(E28="", "", 431624)</f>
        <v/>
      </c>
      <c r="G28" s="39" t="str">
        <f>IF(B28="","",D29-B28)</f>
        <v/>
      </c>
      <c r="H28" s="40" t="str">
        <f>IF(B28="","",B28/C28)</f>
        <v/>
      </c>
      <c r="I28" s="40" t="str">
        <f>IF(B28="","",B28/D29)</f>
        <v/>
      </c>
      <c r="J28" s="40" t="str">
        <f>IF(B28="","",E28/F28)</f>
        <v/>
      </c>
      <c r="K28" s="40"/>
      <c r="L28" s="8"/>
      <c r="M28" s="70" t="str">
        <f>A28</f>
        <v>Q1</v>
      </c>
      <c r="N28" s="71" t="e">
        <f>IF(I28="",NA(),I28)</f>
        <v>#N/A</v>
      </c>
      <c r="O28" s="72" t="e">
        <f>IF(OR(I28="",I28=0),NA(),AVERAGE(I$28:I28))</f>
        <v>#N/A</v>
      </c>
      <c r="P28" s="66">
        <v>1</v>
      </c>
      <c r="Q28" s="66">
        <v>3</v>
      </c>
      <c r="R28" s="66"/>
      <c r="S28" s="66"/>
    </row>
    <row r="29" spans="1:19" x14ac:dyDescent="0.25">
      <c r="A29" s="29" t="s">
        <v>16</v>
      </c>
      <c r="B29" s="39"/>
      <c r="C29" s="39"/>
      <c r="D29" s="39" t="str">
        <f t="shared" ref="D29:D31" si="0">IF(B29="","",J29*C29)</f>
        <v/>
      </c>
      <c r="E29" s="39"/>
      <c r="F29" s="39" t="str">
        <f>IF(E29="", "", 695123)</f>
        <v/>
      </c>
      <c r="G29" s="39" t="str">
        <f>IF(B29="","",#REF!-B29)</f>
        <v/>
      </c>
      <c r="H29" s="40" t="str">
        <f t="shared" ref="H29:H31" si="1">IF(B29="","",B29/C29)</f>
        <v/>
      </c>
      <c r="I29" s="40" t="str">
        <f>IF(B29="","",B29/#REF!)</f>
        <v/>
      </c>
      <c r="J29" s="40" t="str">
        <f t="shared" ref="J29:J31" si="2">IF(B29="","",E29/F29)</f>
        <v/>
      </c>
      <c r="K29" s="40"/>
      <c r="L29" s="8"/>
      <c r="M29" s="70" t="str">
        <f t="shared" ref="M29:M31" si="3">A29</f>
        <v>Q2</v>
      </c>
      <c r="N29" s="71" t="e">
        <f t="shared" ref="N29:N31" si="4">IF(I29="",NA(),I29)</f>
        <v>#N/A</v>
      </c>
      <c r="O29" s="72" t="e">
        <f>IF(OR(I29="",I29=0),NA(),AVERAGE(I$28:I29))</f>
        <v>#N/A</v>
      </c>
      <c r="P29" s="66">
        <v>4</v>
      </c>
      <c r="Q29" s="66">
        <v>6</v>
      </c>
      <c r="R29" s="66"/>
      <c r="S29" s="66"/>
    </row>
    <row r="30" spans="1:19" x14ac:dyDescent="0.25">
      <c r="A30" s="29" t="s">
        <v>17</v>
      </c>
      <c r="B30" s="39"/>
      <c r="C30" s="39"/>
      <c r="D30" s="39" t="str">
        <f t="shared" si="0"/>
        <v/>
      </c>
      <c r="E30" s="39"/>
      <c r="F30" s="39" t="str">
        <f>IF(E30="", "", 613503)</f>
        <v/>
      </c>
      <c r="G30" s="39" t="str">
        <f t="shared" ref="G30:G31" si="5">IF(B30="","",D30-B30)</f>
        <v/>
      </c>
      <c r="H30" s="40" t="str">
        <f t="shared" si="1"/>
        <v/>
      </c>
      <c r="I30" s="40" t="str">
        <f t="shared" ref="I30:I31" si="6">IF(B30="","",B30/D30)</f>
        <v/>
      </c>
      <c r="J30" s="40" t="str">
        <f t="shared" si="2"/>
        <v/>
      </c>
      <c r="K30" s="41"/>
      <c r="L30" s="8"/>
      <c r="M30" s="70" t="str">
        <f t="shared" si="3"/>
        <v>Q3</v>
      </c>
      <c r="N30" s="71" t="e">
        <f t="shared" si="4"/>
        <v>#N/A</v>
      </c>
      <c r="O30" s="72" t="e">
        <f>IF(OR(I30="",I30=0),NA(),AVERAGE(I$28:I30))</f>
        <v>#N/A</v>
      </c>
      <c r="P30" s="66">
        <v>7</v>
      </c>
      <c r="Q30" s="66">
        <v>9</v>
      </c>
      <c r="R30" s="66"/>
      <c r="S30" s="66"/>
    </row>
    <row r="31" spans="1:19" x14ac:dyDescent="0.25">
      <c r="A31" s="29" t="s">
        <v>18</v>
      </c>
      <c r="B31" s="39"/>
      <c r="C31" s="39"/>
      <c r="D31" s="39" t="str">
        <f t="shared" si="0"/>
        <v/>
      </c>
      <c r="E31" s="39"/>
      <c r="F31" s="39" t="str">
        <f>IF(E31="", "", 378760)</f>
        <v/>
      </c>
      <c r="G31" s="39" t="str">
        <f t="shared" si="5"/>
        <v/>
      </c>
      <c r="H31" s="40" t="str">
        <f t="shared" si="1"/>
        <v/>
      </c>
      <c r="I31" s="40" t="str">
        <f t="shared" si="6"/>
        <v/>
      </c>
      <c r="J31" s="40" t="str">
        <f t="shared" si="2"/>
        <v/>
      </c>
      <c r="K31" s="41"/>
      <c r="L31" s="8"/>
      <c r="M31" s="70" t="str">
        <f t="shared" si="3"/>
        <v>Q4</v>
      </c>
      <c r="N31" s="71" t="e">
        <f t="shared" si="4"/>
        <v>#N/A</v>
      </c>
      <c r="O31" s="72" t="e">
        <f>IF(OR(I31="",I31=0),NA(),AVERAGE(I$28:I31))</f>
        <v>#N/A</v>
      </c>
      <c r="P31" s="66">
        <v>10</v>
      </c>
      <c r="Q31" s="66">
        <v>12</v>
      </c>
      <c r="R31" s="66"/>
      <c r="S31" s="66"/>
    </row>
    <row r="32" spans="1:19" x14ac:dyDescent="0.25">
      <c r="A32" s="63" t="s">
        <v>37</v>
      </c>
      <c r="B32" s="64">
        <f>SUM(B28:B31)</f>
        <v>0</v>
      </c>
      <c r="C32" s="64">
        <f t="shared" ref="C32:G32" si="7">SUM(C28:C31)</f>
        <v>0</v>
      </c>
      <c r="D32" s="64">
        <f>SUM(D29:D31)</f>
        <v>0</v>
      </c>
      <c r="E32" s="64">
        <f t="shared" si="7"/>
        <v>0</v>
      </c>
      <c r="F32" s="64">
        <f t="shared" si="7"/>
        <v>0</v>
      </c>
      <c r="G32" s="64">
        <f t="shared" si="7"/>
        <v>0</v>
      </c>
      <c r="H32" s="65" t="str">
        <f>IFERROR(AVERAGE(H28:H31),"")</f>
        <v/>
      </c>
      <c r="I32" s="65" t="str">
        <f t="shared" ref="I32:K32" si="8">IFERROR(AVERAGE(I28:I31),"")</f>
        <v/>
      </c>
      <c r="J32" s="65" t="str">
        <f t="shared" si="8"/>
        <v/>
      </c>
      <c r="K32" s="65" t="str">
        <f t="shared" si="8"/>
        <v/>
      </c>
      <c r="L32" s="8"/>
      <c r="M32" s="70"/>
      <c r="N32" s="70"/>
      <c r="O32" s="70"/>
      <c r="P32" s="66"/>
      <c r="Q32" s="66"/>
      <c r="R32" s="66"/>
      <c r="S32" s="66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8"/>
      <c r="M33" s="66"/>
      <c r="N33" s="66"/>
      <c r="O33" s="66"/>
      <c r="P33" s="66"/>
      <c r="Q33" s="66"/>
      <c r="R33" s="66"/>
      <c r="S33" s="66"/>
    </row>
    <row r="34" spans="1:19" x14ac:dyDescent="0.25">
      <c r="A34" s="86" t="s">
        <v>38</v>
      </c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"/>
      <c r="M34" s="66"/>
      <c r="N34" s="66"/>
      <c r="O34" s="66"/>
      <c r="P34" s="66"/>
      <c r="Q34" s="66"/>
      <c r="R34" s="66"/>
      <c r="S34" s="66"/>
    </row>
    <row r="35" spans="1:19" x14ac:dyDescent="0.25">
      <c r="A35" s="60" t="s">
        <v>39</v>
      </c>
      <c r="B35" s="60" t="s">
        <v>40</v>
      </c>
      <c r="C35" s="60" t="s">
        <v>41</v>
      </c>
      <c r="D35" s="60" t="s">
        <v>42</v>
      </c>
      <c r="E35" s="60" t="s">
        <v>43</v>
      </c>
      <c r="F35" s="60" t="s">
        <v>44</v>
      </c>
      <c r="G35" s="73" t="s">
        <v>45</v>
      </c>
      <c r="H35" s="73"/>
      <c r="I35" s="73"/>
      <c r="J35" s="73"/>
      <c r="K35" s="73"/>
      <c r="L35" s="8"/>
      <c r="M35" s="66"/>
      <c r="N35" s="66"/>
      <c r="O35" s="66"/>
      <c r="P35" s="66"/>
      <c r="Q35" s="66"/>
      <c r="R35" s="66"/>
      <c r="S35" s="66"/>
    </row>
    <row r="36" spans="1:19" x14ac:dyDescent="0.25">
      <c r="A36" s="42"/>
      <c r="B36" s="43"/>
      <c r="C36" s="44"/>
      <c r="D36" s="44"/>
      <c r="E36" s="45"/>
      <c r="F36" s="45"/>
      <c r="G36" s="87" t="s">
        <v>46</v>
      </c>
      <c r="H36" s="87"/>
      <c r="I36" s="87"/>
      <c r="J36" s="87"/>
      <c r="K36" s="87"/>
      <c r="L36" s="8"/>
      <c r="M36" s="66"/>
      <c r="N36" s="66"/>
      <c r="O36" s="66"/>
      <c r="P36" s="66"/>
      <c r="Q36" s="66"/>
      <c r="R36" s="66"/>
      <c r="S36" s="66"/>
    </row>
    <row r="37" spans="1:19" x14ac:dyDescent="0.25">
      <c r="A37" s="46"/>
      <c r="B37" s="46"/>
      <c r="C37" s="47"/>
      <c r="D37" s="48"/>
      <c r="E37" s="49"/>
      <c r="F37" s="50"/>
      <c r="G37" s="50"/>
      <c r="H37" s="50"/>
      <c r="I37" s="50"/>
      <c r="J37" s="50"/>
      <c r="K37" s="50"/>
      <c r="L37" s="8"/>
      <c r="M37" s="66"/>
      <c r="N37" s="66"/>
      <c r="O37" s="66"/>
      <c r="P37" s="66"/>
      <c r="Q37" s="66"/>
      <c r="R37" s="66"/>
      <c r="S37" s="66"/>
    </row>
    <row r="38" spans="1:19" x14ac:dyDescent="0.25">
      <c r="A38" s="86" t="s">
        <v>47</v>
      </c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"/>
      <c r="M38" s="66"/>
      <c r="N38" s="66"/>
      <c r="O38" s="66"/>
      <c r="P38" s="66"/>
      <c r="Q38" s="66"/>
      <c r="R38" s="66"/>
      <c r="S38" s="66"/>
    </row>
    <row r="39" spans="1:19" x14ac:dyDescent="0.25">
      <c r="A39" s="60" t="s">
        <v>39</v>
      </c>
      <c r="B39" s="60" t="s">
        <v>40</v>
      </c>
      <c r="C39" s="60" t="s">
        <v>48</v>
      </c>
      <c r="D39" s="60" t="s">
        <v>49</v>
      </c>
      <c r="E39" s="73" t="s">
        <v>44</v>
      </c>
      <c r="F39" s="73"/>
      <c r="G39" s="73"/>
      <c r="H39" s="73"/>
      <c r="I39" s="73"/>
      <c r="J39" s="73"/>
      <c r="K39" s="73"/>
      <c r="L39" s="8"/>
      <c r="M39" s="66"/>
      <c r="N39" s="66"/>
      <c r="O39" s="66"/>
      <c r="P39" s="66"/>
      <c r="Q39" s="66"/>
      <c r="R39" s="66"/>
      <c r="S39" s="66"/>
    </row>
    <row r="40" spans="1:19" x14ac:dyDescent="0.25">
      <c r="A40" s="42"/>
      <c r="B40" s="43"/>
      <c r="C40" s="44"/>
      <c r="D40" s="44"/>
      <c r="E40" s="74" t="s">
        <v>46</v>
      </c>
      <c r="F40" s="75"/>
      <c r="G40" s="75"/>
      <c r="H40" s="75"/>
      <c r="I40" s="75"/>
      <c r="J40" s="75"/>
      <c r="K40" s="76"/>
      <c r="L40" s="8"/>
      <c r="M40" s="66"/>
      <c r="N40" s="66"/>
      <c r="O40" s="66"/>
      <c r="P40" s="66"/>
      <c r="Q40" s="66"/>
      <c r="R40" s="66"/>
      <c r="S40" s="66"/>
    </row>
    <row r="41" spans="1:19" x14ac:dyDescent="0.25">
      <c r="A41" s="46"/>
      <c r="B41" s="46"/>
      <c r="C41" s="47"/>
      <c r="D41" s="48"/>
      <c r="E41" s="49"/>
      <c r="F41" s="50"/>
      <c r="G41" s="50"/>
      <c r="H41" s="50"/>
      <c r="I41" s="50"/>
      <c r="J41" s="50"/>
      <c r="K41" s="50"/>
      <c r="L41" s="8"/>
      <c r="M41" s="66"/>
      <c r="N41" s="66"/>
      <c r="O41" s="66"/>
      <c r="P41" s="66"/>
      <c r="Q41" s="66"/>
      <c r="R41" s="66"/>
      <c r="S41" s="66"/>
    </row>
    <row r="42" spans="1:19" x14ac:dyDescent="0.25">
      <c r="A42" s="58" t="s">
        <v>50</v>
      </c>
      <c r="B42" s="57"/>
      <c r="C42" s="57"/>
      <c r="D42" s="57"/>
      <c r="E42" s="57"/>
      <c r="F42" s="57"/>
      <c r="G42" s="57"/>
      <c r="H42" s="57"/>
      <c r="I42" s="57"/>
      <c r="J42" s="57"/>
      <c r="K42" s="59"/>
      <c r="L42" s="8"/>
      <c r="M42" s="66"/>
      <c r="N42" s="66"/>
      <c r="O42" s="66"/>
      <c r="P42" s="66"/>
      <c r="Q42" s="66"/>
      <c r="R42" s="66"/>
      <c r="S42" s="66"/>
    </row>
    <row r="43" spans="1:19" x14ac:dyDescent="0.25">
      <c r="A43" s="62" t="s">
        <v>51</v>
      </c>
      <c r="B43" s="62" t="s">
        <v>40</v>
      </c>
      <c r="C43" s="62" t="s">
        <v>52</v>
      </c>
      <c r="D43" s="62" t="s">
        <v>53</v>
      </c>
      <c r="E43" s="77" t="s">
        <v>54</v>
      </c>
      <c r="F43" s="78"/>
      <c r="G43" s="78"/>
      <c r="H43" s="78"/>
      <c r="I43" s="78"/>
      <c r="J43" s="78"/>
      <c r="K43" s="79"/>
      <c r="L43" s="8"/>
      <c r="M43" s="66"/>
      <c r="N43" s="66"/>
      <c r="O43" s="66"/>
      <c r="P43" s="66"/>
      <c r="Q43" s="66"/>
      <c r="R43" s="66"/>
      <c r="S43" s="66"/>
    </row>
    <row r="44" spans="1:19" x14ac:dyDescent="0.25">
      <c r="A44" s="51"/>
      <c r="B44" s="42"/>
      <c r="C44" s="44"/>
      <c r="D44" s="52"/>
      <c r="E44" s="74" t="s">
        <v>55</v>
      </c>
      <c r="F44" s="75"/>
      <c r="G44" s="75"/>
      <c r="H44" s="75"/>
      <c r="I44" s="75"/>
      <c r="J44" s="75"/>
      <c r="K44" s="76"/>
      <c r="L44" s="8"/>
      <c r="M44" s="66"/>
      <c r="N44" s="66"/>
      <c r="O44" s="66"/>
      <c r="P44" s="66"/>
      <c r="Q44" s="66"/>
      <c r="R44" s="66"/>
      <c r="S44" s="66"/>
    </row>
    <row r="45" spans="1:19" x14ac:dyDescent="0.25">
      <c r="A45" s="53" t="s">
        <v>56</v>
      </c>
      <c r="B45" s="54"/>
      <c r="C45" s="54"/>
      <c r="D45" s="54"/>
      <c r="E45" s="10"/>
      <c r="F45" s="10"/>
      <c r="G45" s="10"/>
      <c r="H45" s="10"/>
      <c r="I45" s="10"/>
      <c r="J45" s="10"/>
      <c r="K45" s="10"/>
      <c r="L45" s="8"/>
      <c r="M45" s="66"/>
      <c r="N45" s="66"/>
      <c r="O45" s="66"/>
      <c r="P45" s="66"/>
      <c r="Q45" s="66"/>
      <c r="R45" s="66"/>
      <c r="S45" s="66"/>
    </row>
    <row r="46" spans="1:19" x14ac:dyDescent="0.25">
      <c r="A46" s="54"/>
      <c r="B46" s="54"/>
      <c r="C46" s="54"/>
      <c r="D46" s="54"/>
      <c r="E46" s="10"/>
      <c r="F46" s="10"/>
      <c r="G46" s="10"/>
      <c r="H46" s="10"/>
      <c r="I46" s="10"/>
      <c r="J46" s="10"/>
      <c r="K46" s="10"/>
      <c r="L46" s="8"/>
      <c r="M46" s="66"/>
      <c r="N46" s="66"/>
      <c r="O46" s="66"/>
      <c r="P46" s="66"/>
      <c r="Q46" s="66"/>
      <c r="R46" s="66"/>
      <c r="S46" s="66"/>
    </row>
    <row r="47" spans="1:19" x14ac:dyDescent="0.25">
      <c r="A47" s="54"/>
      <c r="B47" s="54"/>
      <c r="C47" s="54"/>
      <c r="D47" s="54"/>
      <c r="E47" s="10"/>
      <c r="F47" s="10"/>
      <c r="G47" s="10"/>
      <c r="H47" s="10"/>
      <c r="I47" s="10"/>
      <c r="J47" s="10"/>
      <c r="K47" s="10"/>
      <c r="L47" s="8"/>
      <c r="M47" s="66"/>
      <c r="N47" s="66"/>
      <c r="O47" s="66"/>
      <c r="P47" s="66"/>
      <c r="Q47" s="66"/>
      <c r="R47" s="66"/>
      <c r="S47" s="66"/>
    </row>
    <row r="48" spans="1:19" x14ac:dyDescent="0.25">
      <c r="A48" s="54"/>
      <c r="B48" s="54"/>
      <c r="C48" s="54"/>
      <c r="D48" s="54"/>
      <c r="E48" s="10"/>
      <c r="F48" s="10"/>
      <c r="G48" s="10"/>
      <c r="H48" s="10"/>
      <c r="I48" s="10"/>
      <c r="J48" s="10"/>
      <c r="K48" s="10"/>
      <c r="L48" s="8"/>
      <c r="M48" s="66"/>
      <c r="N48" s="66"/>
      <c r="O48" s="66"/>
      <c r="P48" s="66"/>
      <c r="Q48" s="66"/>
      <c r="R48" s="66"/>
      <c r="S48" s="66"/>
    </row>
    <row r="49" spans="1:19" x14ac:dyDescent="0.25">
      <c r="A49" s="54"/>
      <c r="B49" s="54"/>
      <c r="C49" s="54"/>
      <c r="D49" s="54"/>
      <c r="E49" s="10"/>
      <c r="F49" s="10"/>
      <c r="G49" s="10"/>
      <c r="H49" s="10"/>
      <c r="I49" s="10"/>
      <c r="J49" s="10"/>
      <c r="K49" s="10"/>
      <c r="L49" s="8"/>
      <c r="M49" s="66"/>
      <c r="N49" s="66"/>
      <c r="O49" s="66"/>
      <c r="P49" s="66"/>
      <c r="Q49" s="66"/>
      <c r="R49" s="66"/>
      <c r="S49" s="66"/>
    </row>
    <row r="50" spans="1:19" x14ac:dyDescent="0.25">
      <c r="A50" s="54"/>
      <c r="B50" s="54"/>
      <c r="C50" s="54"/>
      <c r="D50" s="54"/>
      <c r="E50" s="10"/>
      <c r="F50" s="10"/>
      <c r="G50" s="10"/>
      <c r="H50" s="10"/>
      <c r="I50" s="10"/>
      <c r="J50" s="10"/>
      <c r="K50" s="10"/>
      <c r="L50" s="8"/>
      <c r="M50" s="66"/>
      <c r="N50" s="66"/>
      <c r="O50" s="66"/>
      <c r="P50" s="66"/>
      <c r="Q50" s="66"/>
      <c r="R50" s="66"/>
      <c r="S50" s="66"/>
    </row>
    <row r="51" spans="1:19" x14ac:dyDescent="0.25">
      <c r="A51" s="54"/>
      <c r="B51" s="54"/>
      <c r="C51" s="54"/>
      <c r="D51" s="54"/>
      <c r="E51" s="10"/>
      <c r="F51" s="10"/>
      <c r="G51" s="10"/>
      <c r="H51" s="10"/>
      <c r="I51" s="10"/>
      <c r="J51" s="10"/>
      <c r="K51" s="10"/>
      <c r="L51" s="8"/>
      <c r="M51" s="66"/>
      <c r="N51" s="66"/>
      <c r="O51" s="66"/>
      <c r="P51" s="66"/>
      <c r="Q51" s="66"/>
      <c r="R51" s="66"/>
      <c r="S51" s="66"/>
    </row>
    <row r="52" spans="1:19" x14ac:dyDescent="0.25">
      <c r="A52" s="54"/>
      <c r="B52" s="54"/>
      <c r="C52" s="54"/>
      <c r="D52" s="54"/>
      <c r="E52" s="10"/>
      <c r="F52" s="10"/>
      <c r="G52" s="10"/>
      <c r="H52" s="10"/>
      <c r="I52" s="10"/>
      <c r="J52" s="10"/>
      <c r="K52" s="10"/>
      <c r="L52" s="8"/>
      <c r="M52" s="66"/>
      <c r="N52" s="66"/>
      <c r="O52" s="66"/>
      <c r="P52" s="66"/>
      <c r="Q52" s="66"/>
      <c r="R52" s="66"/>
      <c r="S52" s="66"/>
    </row>
    <row r="53" spans="1:19" x14ac:dyDescent="0.25">
      <c r="A53" s="54"/>
      <c r="B53" s="54"/>
      <c r="C53" s="54"/>
      <c r="D53" s="54"/>
      <c r="E53" s="10"/>
      <c r="F53" s="10"/>
      <c r="G53" s="10"/>
      <c r="H53" s="10"/>
      <c r="I53" s="10"/>
      <c r="J53" s="10"/>
      <c r="K53" s="10"/>
      <c r="L53" s="8"/>
      <c r="M53" s="66"/>
      <c r="N53" s="66"/>
      <c r="O53" s="66"/>
      <c r="P53" s="66"/>
      <c r="Q53" s="66"/>
      <c r="R53" s="66"/>
      <c r="S53" s="66"/>
    </row>
    <row r="54" spans="1:19" x14ac:dyDescent="0.25">
      <c r="A54" s="54"/>
      <c r="B54" s="54"/>
      <c r="C54" s="54"/>
      <c r="D54" s="54"/>
      <c r="E54" s="10"/>
      <c r="F54" s="10"/>
      <c r="G54" s="10"/>
      <c r="H54" s="10"/>
      <c r="I54" s="10"/>
      <c r="J54" s="10"/>
      <c r="K54" s="10"/>
      <c r="L54" s="8"/>
      <c r="M54" s="66"/>
      <c r="N54" s="66"/>
      <c r="O54" s="66"/>
      <c r="P54" s="66"/>
      <c r="Q54" s="66"/>
      <c r="R54" s="66"/>
      <c r="S54" s="66"/>
    </row>
    <row r="55" spans="1:19" x14ac:dyDescent="0.25">
      <c r="A55" s="55"/>
      <c r="B55" s="55"/>
      <c r="C55" s="55"/>
      <c r="D55" s="55"/>
      <c r="E55" s="56"/>
      <c r="F55" s="56"/>
      <c r="G55" s="56"/>
      <c r="H55" s="56"/>
      <c r="I55" s="56"/>
      <c r="J55" s="56"/>
      <c r="K55" s="56"/>
      <c r="L55" s="8"/>
      <c r="M55" s="66"/>
      <c r="N55" s="66"/>
      <c r="O55" s="66"/>
      <c r="P55" s="66"/>
      <c r="Q55" s="66"/>
      <c r="R55" s="66"/>
      <c r="S55" s="66"/>
    </row>
    <row r="56" spans="1:19" x14ac:dyDescent="0.25">
      <c r="A56" s="55"/>
      <c r="B56" s="55"/>
      <c r="C56" s="55"/>
      <c r="D56" s="55"/>
      <c r="E56" s="56"/>
      <c r="F56" s="56"/>
      <c r="G56" s="56"/>
      <c r="H56" s="56"/>
      <c r="I56" s="56"/>
      <c r="J56" s="56"/>
      <c r="K56" s="56"/>
      <c r="L56" s="8"/>
      <c r="M56" s="66"/>
      <c r="N56" s="66"/>
      <c r="O56" s="66"/>
      <c r="P56" s="66"/>
      <c r="Q56" s="66"/>
      <c r="R56" s="66"/>
      <c r="S56" s="66"/>
    </row>
    <row r="57" spans="1:19" x14ac:dyDescent="0.25">
      <c r="A57" s="55"/>
      <c r="B57" s="55"/>
      <c r="C57" s="55"/>
      <c r="D57" s="55"/>
      <c r="E57" s="56"/>
      <c r="F57" s="56"/>
      <c r="G57" s="56"/>
      <c r="H57" s="56"/>
      <c r="I57" s="56"/>
      <c r="J57" s="56"/>
      <c r="K57" s="56"/>
      <c r="L57" s="8"/>
      <c r="M57" s="66"/>
      <c r="N57" s="66"/>
      <c r="O57" s="66"/>
      <c r="P57" s="66"/>
      <c r="Q57" s="66"/>
      <c r="R57" s="66"/>
      <c r="S57" s="66"/>
    </row>
    <row r="58" spans="1:19" x14ac:dyDescent="0.25">
      <c r="A58" s="55"/>
      <c r="B58" s="55"/>
      <c r="C58" s="55"/>
      <c r="D58" s="55"/>
      <c r="E58" s="56"/>
      <c r="F58" s="56"/>
      <c r="G58" s="56"/>
      <c r="H58" s="56"/>
      <c r="I58" s="56"/>
      <c r="J58" s="56"/>
      <c r="K58" s="56"/>
      <c r="L58" s="8"/>
      <c r="M58" s="66"/>
      <c r="N58" s="66"/>
      <c r="O58" s="66"/>
      <c r="P58" s="66"/>
      <c r="Q58" s="66"/>
      <c r="R58" s="66"/>
      <c r="S58" s="66"/>
    </row>
    <row r="59" spans="1:19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66"/>
      <c r="N59" s="66"/>
      <c r="O59" s="66"/>
      <c r="P59" s="66"/>
      <c r="Q59" s="66"/>
      <c r="R59" s="66"/>
      <c r="S59" s="66"/>
    </row>
    <row r="60" spans="1:19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66"/>
      <c r="N60" s="66"/>
      <c r="O60" s="66"/>
      <c r="P60" s="66"/>
      <c r="Q60" s="66"/>
      <c r="R60" s="66"/>
      <c r="S60" s="66"/>
    </row>
    <row r="61" spans="1:19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66"/>
      <c r="N61" s="66"/>
      <c r="O61" s="66"/>
      <c r="P61" s="66"/>
      <c r="Q61" s="66"/>
      <c r="R61" s="66"/>
      <c r="S61" s="66"/>
    </row>
  </sheetData>
  <mergeCells count="16">
    <mergeCell ref="B20:F20"/>
    <mergeCell ref="A5:C5"/>
    <mergeCell ref="I5:K5"/>
    <mergeCell ref="I6:K6"/>
    <mergeCell ref="I7:K7"/>
    <mergeCell ref="A14:F14"/>
    <mergeCell ref="E39:K39"/>
    <mergeCell ref="E40:K40"/>
    <mergeCell ref="E43:K43"/>
    <mergeCell ref="E44:K44"/>
    <mergeCell ref="A22:H22"/>
    <mergeCell ref="A26:K26"/>
    <mergeCell ref="A34:K34"/>
    <mergeCell ref="G35:K35"/>
    <mergeCell ref="G36:K36"/>
    <mergeCell ref="A38:K38"/>
  </mergeCells>
  <conditionalFormatting sqref="B16:F19">
    <cfRule type="dataBar" priority="3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{CB1952FD-F0AB-4820-AE89-A6251FE66C24}</x14:id>
        </ext>
      </extLst>
    </cfRule>
    <cfRule type="dataBar" priority="4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{3B473DD5-6562-4D6E-B2FB-D445F567564B}</x14:id>
        </ext>
      </extLst>
    </cfRule>
  </conditionalFormatting>
  <conditionalFormatting sqref="H28:K28 H29:J31">
    <cfRule type="dataBar" priority="5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{1DA97437-7165-4BA8-8D2A-A14668B0ADBC}</x14:id>
        </ext>
      </extLst>
    </cfRule>
    <cfRule type="dataBar" priority="6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{869001ED-136F-4390-8F69-F38F07C246EC}</x14:id>
        </ext>
      </extLst>
    </cfRule>
  </conditionalFormatting>
  <conditionalFormatting sqref="K29">
    <cfRule type="dataBar" priority="1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{554576A0-14E0-4229-922B-826EDCA162DC}</x14:id>
        </ext>
      </extLst>
    </cfRule>
    <cfRule type="dataBar" priority="2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{F870D0B4-AD4B-4851-AB07-DE60D8EDA66B}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1952FD-F0AB-4820-AE89-A6251FE66C24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3B473DD5-6562-4D6E-B2FB-D445F567564B}">
            <x14:dataBar minLength="0" maxLength="100" gradient="0" negativeBarColorSameAsPositive="1" axisPosition="none">
              <x14:cfvo type="min"/>
              <x14:cfvo type="max"/>
            </x14:dataBar>
          </x14:cfRule>
          <xm:sqref>B16:F19</xm:sqref>
        </x14:conditionalFormatting>
        <x14:conditionalFormatting xmlns:xm="http://schemas.microsoft.com/office/excel/2006/main">
          <x14:cfRule type="dataBar" id="{1DA97437-7165-4BA8-8D2A-A14668B0ADBC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869001ED-136F-4390-8F69-F38F07C246EC}">
            <x14:dataBar minLength="0" maxLength="100" gradient="0" negativeBarColorSameAsPositive="1" axisPosition="none">
              <x14:cfvo type="min"/>
              <x14:cfvo type="max"/>
            </x14:dataBar>
          </x14:cfRule>
          <xm:sqref>H28:K28 H29:J31</xm:sqref>
        </x14:conditionalFormatting>
        <x14:conditionalFormatting xmlns:xm="http://schemas.microsoft.com/office/excel/2006/main">
          <x14:cfRule type="dataBar" id="{554576A0-14E0-4229-922B-826EDCA162DC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F870D0B4-AD4B-4851-AB07-DE60D8EDA66B}">
            <x14:dataBar minLength="0" maxLength="100" gradient="0" negativeBarColorSameAsPositive="1" axisPosition="none">
              <x14:cfvo type="min"/>
              <x14:cfvo type="max"/>
            </x14:dataBar>
          </x14:cfRule>
          <xm:sqref>K29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E100A-BA63-4C7D-B32B-683F1E134C9B}">
  <sheetPr codeName="Sheet4"/>
  <dimension ref="A1:AA61"/>
  <sheetViews>
    <sheetView tabSelected="1" zoomScale="130" zoomScaleNormal="130" workbookViewId="0">
      <selection activeCell="F2" sqref="F2"/>
    </sheetView>
  </sheetViews>
  <sheetFormatPr defaultRowHeight="15" x14ac:dyDescent="0.25"/>
  <cols>
    <col min="1" max="1" width="16.7109375" style="5" customWidth="1"/>
    <col min="2" max="2" width="19.5703125" style="5" customWidth="1"/>
    <col min="3" max="3" width="15.140625" style="5" customWidth="1"/>
    <col min="4" max="4" width="13.28515625" style="5" customWidth="1"/>
    <col min="5" max="5" width="12.5703125" style="5" customWidth="1"/>
    <col min="6" max="6" width="21.42578125" style="5" customWidth="1"/>
    <col min="7" max="7" width="38.42578125" style="5" customWidth="1"/>
    <col min="8" max="12" width="9.140625" style="5"/>
    <col min="28" max="16384" width="9.140625" style="5"/>
  </cols>
  <sheetData>
    <row r="1" spans="1:19" ht="15.75" x14ac:dyDescent="0.25">
      <c r="A1" s="3"/>
      <c r="B1" s="4"/>
      <c r="C1" s="4"/>
      <c r="D1" s="3"/>
      <c r="E1" s="2"/>
      <c r="F1" s="2" t="s">
        <v>75</v>
      </c>
      <c r="G1" s="4"/>
      <c r="H1" s="4"/>
      <c r="I1" s="4"/>
      <c r="J1" s="4"/>
      <c r="K1" s="4"/>
    </row>
    <row r="2" spans="1:19" ht="15.75" x14ac:dyDescent="0.25">
      <c r="A2" s="4"/>
      <c r="B2" s="4"/>
      <c r="C2" s="4"/>
      <c r="D2" s="3"/>
      <c r="E2" s="6"/>
      <c r="F2" s="2" t="s">
        <v>76</v>
      </c>
      <c r="G2" s="3"/>
      <c r="H2" s="3"/>
      <c r="I2" s="4"/>
      <c r="J2" s="4"/>
      <c r="K2" s="4"/>
    </row>
    <row r="3" spans="1:19" x14ac:dyDescent="0.25">
      <c r="A3" s="8"/>
      <c r="B3" s="8"/>
      <c r="C3" s="9"/>
      <c r="D3" s="10"/>
      <c r="E3" s="11"/>
      <c r="F3" s="7" t="s">
        <v>59</v>
      </c>
      <c r="G3" s="9"/>
      <c r="H3" s="9"/>
      <c r="I3" s="9"/>
      <c r="J3" s="9"/>
      <c r="K3" s="9"/>
    </row>
    <row r="4" spans="1:19" ht="33" customHeight="1" x14ac:dyDescent="0.25">
      <c r="A4" s="8"/>
      <c r="B4" s="8"/>
      <c r="C4" s="8"/>
      <c r="D4" s="10"/>
      <c r="E4" s="12"/>
      <c r="F4" s="12" t="str">
        <f ca="1">IF(COUNTA(B28:B31)=0, "Reporting Period: " &amp; YEAR(TODAY()),
    IF(COUNTA(B28:B31)=1, "Reporting Period: January - March " &amp; YEAR(TODAY()),
    IF(COUNTA(B28:B31)=2, "Reporting Period: April - June " &amp; YEAR(TODAY()),
    IF(COUNTA(B28:B31)=3, "Reporting Period: July - September " &amp; YEAR(TODAY()),
    "Reporting Period: October - December " &amp; YEAR(TODAY())))))</f>
        <v>Reporting Period: 2024</v>
      </c>
      <c r="G4" s="13"/>
      <c r="H4" s="13"/>
      <c r="I4" s="13"/>
      <c r="J4" s="13"/>
      <c r="K4" s="13"/>
    </row>
    <row r="5" spans="1:19" x14ac:dyDescent="0.25">
      <c r="A5" s="80" t="s">
        <v>1</v>
      </c>
      <c r="B5" s="81"/>
      <c r="C5" s="82"/>
      <c r="D5" s="14"/>
      <c r="E5" s="14"/>
      <c r="F5" s="8"/>
      <c r="G5" s="15"/>
      <c r="H5" s="15"/>
      <c r="I5" s="88"/>
      <c r="J5" s="88"/>
      <c r="K5" s="88"/>
    </row>
    <row r="6" spans="1:19" x14ac:dyDescent="0.25">
      <c r="A6" s="16"/>
      <c r="B6" s="17" t="s">
        <v>2</v>
      </c>
      <c r="C6" s="18">
        <v>2.7</v>
      </c>
      <c r="D6" s="19"/>
      <c r="E6" s="19"/>
      <c r="F6" s="8"/>
      <c r="G6" s="15"/>
      <c r="H6" s="15"/>
      <c r="I6" s="88"/>
      <c r="J6" s="88"/>
      <c r="K6" s="88"/>
    </row>
    <row r="7" spans="1:19" x14ac:dyDescent="0.25">
      <c r="A7" s="16"/>
      <c r="B7" s="17" t="s">
        <v>3</v>
      </c>
      <c r="C7" s="18">
        <v>2</v>
      </c>
      <c r="D7" s="19"/>
      <c r="E7" s="19"/>
      <c r="F7" s="8"/>
      <c r="G7" s="15"/>
      <c r="H7" s="15"/>
      <c r="I7" s="88"/>
      <c r="J7" s="88"/>
      <c r="K7" s="88"/>
    </row>
    <row r="8" spans="1:19" x14ac:dyDescent="0.25">
      <c r="A8" s="16"/>
      <c r="B8" s="17" t="s">
        <v>4</v>
      </c>
      <c r="C8" s="20">
        <v>31</v>
      </c>
      <c r="D8" s="21"/>
      <c r="E8" s="21"/>
      <c r="F8" s="8"/>
      <c r="G8" s="15"/>
      <c r="H8" s="8"/>
      <c r="I8" s="8"/>
      <c r="J8" s="8"/>
      <c r="K8" s="8"/>
    </row>
    <row r="9" spans="1:19" x14ac:dyDescent="0.25">
      <c r="A9" s="16"/>
      <c r="B9" s="17" t="s">
        <v>5</v>
      </c>
      <c r="C9" s="22"/>
      <c r="D9" s="21"/>
      <c r="E9" s="21"/>
      <c r="F9" s="8"/>
      <c r="G9" s="15"/>
      <c r="H9" s="8"/>
      <c r="I9" s="8"/>
      <c r="J9" s="8"/>
      <c r="K9" s="8"/>
    </row>
    <row r="10" spans="1:19" x14ac:dyDescent="0.25">
      <c r="A10" s="16"/>
      <c r="B10" s="17" t="s">
        <v>6</v>
      </c>
      <c r="C10" s="20"/>
      <c r="D10" s="21"/>
      <c r="E10" s="21"/>
      <c r="F10" s="8"/>
      <c r="G10" s="15"/>
      <c r="H10" s="8"/>
      <c r="I10" s="8"/>
      <c r="J10" s="8"/>
      <c r="K10" s="8"/>
    </row>
    <row r="11" spans="1:19" x14ac:dyDescent="0.25">
      <c r="A11" s="16"/>
      <c r="B11" s="17" t="s">
        <v>7</v>
      </c>
      <c r="C11" s="20"/>
      <c r="D11" s="21"/>
      <c r="E11" s="21"/>
      <c r="F11" s="8"/>
      <c r="G11" s="15"/>
      <c r="H11" s="8"/>
      <c r="I11" s="8"/>
      <c r="J11" s="8"/>
      <c r="K11" s="8"/>
    </row>
    <row r="12" spans="1:19" x14ac:dyDescent="0.25">
      <c r="A12" s="23"/>
      <c r="B12" s="23"/>
      <c r="C12" s="24"/>
      <c r="D12" s="21"/>
      <c r="E12" s="21"/>
      <c r="F12" s="8"/>
      <c r="G12" s="8"/>
      <c r="H12" s="8"/>
      <c r="I12" s="8"/>
      <c r="J12" s="8"/>
      <c r="K12" s="8"/>
    </row>
    <row r="13" spans="1:19" x14ac:dyDescent="0.25">
      <c r="A13" s="25"/>
      <c r="B13" s="25"/>
      <c r="C13" s="26"/>
      <c r="D13" s="21"/>
      <c r="E13" s="21"/>
      <c r="F13" s="8"/>
      <c r="G13" s="8"/>
      <c r="H13" s="8"/>
      <c r="I13" s="8"/>
      <c r="J13" s="8"/>
      <c r="K13" s="8"/>
    </row>
    <row r="14" spans="1:19" x14ac:dyDescent="0.25">
      <c r="A14" s="89" t="s">
        <v>8</v>
      </c>
      <c r="B14" s="89"/>
      <c r="C14" s="89"/>
      <c r="D14" s="89"/>
      <c r="E14" s="89"/>
      <c r="F14" s="89"/>
      <c r="G14" s="8"/>
      <c r="H14" s="8"/>
      <c r="I14" s="8"/>
      <c r="J14" s="8"/>
      <c r="K14" s="8"/>
      <c r="L14" s="8"/>
      <c r="M14" s="66"/>
      <c r="N14" s="66"/>
      <c r="O14" s="66"/>
      <c r="P14" s="66"/>
      <c r="Q14" s="66"/>
      <c r="R14" s="66"/>
      <c r="S14" s="66"/>
    </row>
    <row r="15" spans="1:19" ht="16.5" x14ac:dyDescent="0.25">
      <c r="A15" s="60" t="s">
        <v>9</v>
      </c>
      <c r="B15" s="60" t="s">
        <v>10</v>
      </c>
      <c r="C15" s="60" t="s">
        <v>11</v>
      </c>
      <c r="D15" s="60" t="s">
        <v>12</v>
      </c>
      <c r="E15" s="60" t="s">
        <v>13</v>
      </c>
      <c r="F15" s="60" t="s">
        <v>14</v>
      </c>
      <c r="G15" s="8"/>
      <c r="H15" s="8"/>
      <c r="I15" s="8"/>
      <c r="J15" s="8"/>
      <c r="K15" s="8"/>
      <c r="L15" s="8"/>
      <c r="M15" s="66"/>
      <c r="N15" s="67"/>
      <c r="O15" s="68"/>
      <c r="P15" s="66"/>
      <c r="Q15" s="66"/>
      <c r="R15" s="66"/>
      <c r="S15" s="66"/>
    </row>
    <row r="16" spans="1:19" x14ac:dyDescent="0.25">
      <c r="A16" s="29" t="s">
        <v>15</v>
      </c>
      <c r="B16" s="30"/>
      <c r="C16" s="30"/>
      <c r="D16" s="30"/>
      <c r="E16" s="30"/>
      <c r="F16" s="30"/>
      <c r="G16" s="8"/>
      <c r="H16" s="8"/>
      <c r="I16" s="8"/>
      <c r="J16" s="8"/>
      <c r="K16" s="8"/>
      <c r="L16" s="8"/>
      <c r="M16" s="66"/>
      <c r="N16" s="67"/>
      <c r="O16" s="68"/>
      <c r="P16" s="66"/>
      <c r="Q16" s="66"/>
      <c r="R16" s="66"/>
      <c r="S16" s="66"/>
    </row>
    <row r="17" spans="1:19" x14ac:dyDescent="0.25">
      <c r="A17" s="29" t="s">
        <v>16</v>
      </c>
      <c r="B17" s="30"/>
      <c r="C17" s="30"/>
      <c r="D17" s="30"/>
      <c r="E17" s="30"/>
      <c r="F17" s="30"/>
      <c r="G17" s="8"/>
      <c r="H17" s="8"/>
      <c r="I17" s="8"/>
      <c r="J17" s="8"/>
      <c r="K17" s="8"/>
      <c r="L17" s="8"/>
      <c r="M17" s="66"/>
      <c r="N17" s="67"/>
      <c r="O17" s="68"/>
      <c r="P17" s="66"/>
      <c r="Q17" s="66"/>
      <c r="R17" s="66"/>
      <c r="S17" s="66"/>
    </row>
    <row r="18" spans="1:19" x14ac:dyDescent="0.25">
      <c r="A18" s="29" t="s">
        <v>17</v>
      </c>
      <c r="B18" s="30"/>
      <c r="C18" s="30"/>
      <c r="D18" s="30"/>
      <c r="E18" s="30"/>
      <c r="F18" s="30"/>
      <c r="G18" s="8"/>
      <c r="H18" s="8"/>
      <c r="I18" s="8"/>
      <c r="J18" s="8"/>
      <c r="K18" s="8"/>
      <c r="L18" s="8"/>
      <c r="M18" s="66"/>
      <c r="N18" s="67"/>
      <c r="O18" s="68"/>
      <c r="P18" s="66"/>
      <c r="Q18" s="66"/>
      <c r="R18" s="66"/>
      <c r="S18" s="66"/>
    </row>
    <row r="19" spans="1:19" x14ac:dyDescent="0.25">
      <c r="A19" s="29" t="s">
        <v>18</v>
      </c>
      <c r="B19" s="30"/>
      <c r="C19" s="30"/>
      <c r="D19" s="30"/>
      <c r="E19" s="30"/>
      <c r="F19" s="30"/>
      <c r="G19" s="8"/>
      <c r="H19" s="8"/>
      <c r="I19" s="8"/>
      <c r="J19" s="8"/>
      <c r="K19" s="8"/>
      <c r="L19" s="8"/>
      <c r="M19" s="66"/>
      <c r="N19" s="67"/>
      <c r="O19" s="68"/>
      <c r="P19" s="66"/>
      <c r="Q19" s="66"/>
      <c r="R19" s="66"/>
      <c r="S19" s="66"/>
    </row>
    <row r="20" spans="1:19" x14ac:dyDescent="0.25">
      <c r="A20" s="31" t="s">
        <v>19</v>
      </c>
      <c r="B20" s="90"/>
      <c r="C20" s="90"/>
      <c r="D20" s="90"/>
      <c r="E20" s="90"/>
      <c r="F20" s="90"/>
      <c r="G20" s="8"/>
      <c r="H20" s="8"/>
      <c r="I20" s="8"/>
      <c r="J20" s="8"/>
      <c r="K20" s="8"/>
      <c r="L20" s="8"/>
      <c r="M20" s="66"/>
      <c r="N20" s="67"/>
      <c r="O20" s="68"/>
      <c r="P20" s="66"/>
      <c r="Q20" s="66"/>
      <c r="R20" s="66"/>
      <c r="S20" s="66"/>
    </row>
    <row r="21" spans="1:19" x14ac:dyDescent="0.25">
      <c r="A21" s="32"/>
      <c r="B21" s="32"/>
      <c r="C21" s="33"/>
      <c r="D21" s="34"/>
      <c r="E21" s="34"/>
      <c r="F21" s="8"/>
      <c r="G21" s="8"/>
      <c r="H21" s="8"/>
      <c r="I21" s="8"/>
      <c r="J21" s="8"/>
      <c r="K21" s="8"/>
      <c r="L21" s="8"/>
      <c r="M21" s="66"/>
      <c r="N21" s="67"/>
      <c r="O21" s="68"/>
      <c r="P21" s="66"/>
      <c r="Q21" s="66"/>
      <c r="R21" s="66"/>
      <c r="S21" s="66"/>
    </row>
    <row r="22" spans="1:19" x14ac:dyDescent="0.25">
      <c r="A22" s="80" t="s">
        <v>20</v>
      </c>
      <c r="B22" s="81"/>
      <c r="C22" s="81"/>
      <c r="D22" s="81"/>
      <c r="E22" s="81"/>
      <c r="F22" s="81"/>
      <c r="G22" s="81"/>
      <c r="H22" s="82"/>
      <c r="I22" s="8"/>
      <c r="J22" s="8"/>
      <c r="K22" s="27"/>
      <c r="L22" s="28"/>
      <c r="M22" s="66"/>
      <c r="N22" s="66"/>
      <c r="O22" s="66"/>
      <c r="P22" s="66"/>
      <c r="Q22" s="66"/>
      <c r="R22" s="66"/>
      <c r="S22" s="66"/>
    </row>
    <row r="23" spans="1:19" ht="56.25" x14ac:dyDescent="0.25">
      <c r="A23" s="61" t="s">
        <v>21</v>
      </c>
      <c r="B23" s="61" t="s">
        <v>22</v>
      </c>
      <c r="C23" s="61" t="s">
        <v>23</v>
      </c>
      <c r="D23" s="61" t="s">
        <v>24</v>
      </c>
      <c r="E23" s="61" t="s">
        <v>25</v>
      </c>
      <c r="F23" s="61" t="s">
        <v>26</v>
      </c>
      <c r="G23" s="61" t="s">
        <v>27</v>
      </c>
      <c r="H23" s="61" t="s">
        <v>28</v>
      </c>
      <c r="I23" s="8"/>
      <c r="J23" s="8"/>
      <c r="K23" s="27"/>
      <c r="L23" s="28"/>
      <c r="M23" s="66"/>
      <c r="N23" s="66"/>
      <c r="O23" s="66"/>
      <c r="P23" s="66"/>
      <c r="Q23" s="66"/>
      <c r="R23" s="66"/>
      <c r="S23" s="66"/>
    </row>
    <row r="24" spans="1:19" x14ac:dyDescent="0.25">
      <c r="A24" s="35" t="e" cm="1">
        <f t="array" ref="A24">LOOKUP(2,1/(H28:H31&lt;&gt;""),H28:H31)</f>
        <v>#N/A</v>
      </c>
      <c r="B24" s="35" t="e" cm="1">
        <f t="array" ref="B24">LOOKUP(2,1/(I28:I31&lt;&gt;""),I28:I31)</f>
        <v>#N/A</v>
      </c>
      <c r="C24" s="35" t="e" cm="1">
        <f t="array" ref="C24">LOOKUP(2,1/(J28:J31&lt;&gt;""),J28:J31)</f>
        <v>#N/A</v>
      </c>
      <c r="D24" s="35" t="e" cm="1">
        <f t="array" ref="D24">LOOKUP(2,1/(K28:K31&lt;&gt;""),K28:K31)</f>
        <v>#N/A</v>
      </c>
      <c r="E24" s="36">
        <v>1</v>
      </c>
      <c r="F24" s="36">
        <v>1</v>
      </c>
      <c r="G24" s="37">
        <v>0</v>
      </c>
      <c r="H24" s="37">
        <v>0</v>
      </c>
      <c r="I24" s="8"/>
      <c r="J24" s="8"/>
      <c r="K24" s="27"/>
      <c r="L24" s="28"/>
      <c r="M24" s="66"/>
      <c r="N24" s="66"/>
      <c r="O24" s="66"/>
      <c r="P24" s="66"/>
      <c r="Q24" s="66"/>
      <c r="R24" s="66"/>
      <c r="S24" s="66"/>
    </row>
    <row r="25" spans="1:19" x14ac:dyDescent="0.25">
      <c r="G25" s="8"/>
      <c r="H25" s="8"/>
      <c r="I25" s="8"/>
      <c r="J25" s="8"/>
      <c r="K25" s="8"/>
      <c r="L25" s="8"/>
      <c r="M25" s="66"/>
      <c r="N25" s="67"/>
      <c r="O25" s="68"/>
      <c r="P25" s="66"/>
      <c r="Q25" s="66"/>
      <c r="R25" s="66"/>
      <c r="S25" s="66"/>
    </row>
    <row r="26" spans="1:19" x14ac:dyDescent="0.25">
      <c r="A26" s="83" t="s">
        <v>29</v>
      </c>
      <c r="B26" s="84"/>
      <c r="C26" s="84"/>
      <c r="D26" s="84"/>
      <c r="E26" s="84"/>
      <c r="F26" s="84"/>
      <c r="G26" s="84"/>
      <c r="H26" s="84"/>
      <c r="I26" s="84"/>
      <c r="J26" s="84"/>
      <c r="K26" s="85"/>
      <c r="L26" s="8"/>
      <c r="M26" s="66"/>
      <c r="N26" s="69" t="str">
        <f>I27</f>
        <v>Performance Index (%)</v>
      </c>
      <c r="O26" s="68"/>
      <c r="P26" s="66"/>
      <c r="Q26" s="66"/>
      <c r="R26" s="66"/>
      <c r="S26" s="66"/>
    </row>
    <row r="27" spans="1:19" ht="24.75" x14ac:dyDescent="0.25">
      <c r="A27" s="60" t="s">
        <v>30</v>
      </c>
      <c r="B27" s="60" t="s">
        <v>31</v>
      </c>
      <c r="C27" s="60" t="s">
        <v>32</v>
      </c>
      <c r="D27" s="60" t="s">
        <v>33</v>
      </c>
      <c r="E27" s="60" t="s">
        <v>34</v>
      </c>
      <c r="F27" s="60" t="s">
        <v>35</v>
      </c>
      <c r="G27" s="60" t="s">
        <v>36</v>
      </c>
      <c r="H27" s="60" t="s">
        <v>21</v>
      </c>
      <c r="I27" s="60" t="s">
        <v>22</v>
      </c>
      <c r="J27" s="60" t="s">
        <v>23</v>
      </c>
      <c r="K27" s="60" t="s">
        <v>24</v>
      </c>
      <c r="L27" s="8"/>
      <c r="M27" s="70"/>
      <c r="N27" s="70" t="s">
        <v>0</v>
      </c>
      <c r="O27" s="70" t="s">
        <v>37</v>
      </c>
      <c r="P27" s="66"/>
      <c r="Q27" s="66"/>
      <c r="R27" s="66"/>
      <c r="S27" s="66"/>
    </row>
    <row r="28" spans="1:19" x14ac:dyDescent="0.25">
      <c r="A28" s="29" t="s">
        <v>15</v>
      </c>
      <c r="B28" s="38"/>
      <c r="C28" s="39"/>
      <c r="D28" s="39" t="str">
        <f>IF(B28="","",J28*C28)</f>
        <v/>
      </c>
      <c r="E28" s="39"/>
      <c r="F28" s="39" t="str">
        <f>IF(E28="", "", 313600)</f>
        <v/>
      </c>
      <c r="G28" s="39" t="str">
        <f>IF(B28="","",D29-B28)</f>
        <v/>
      </c>
      <c r="H28" s="40" t="str">
        <f>IF(B28="","",B28/C28)</f>
        <v/>
      </c>
      <c r="I28" s="40" t="str">
        <f>IF(B28="","",B28/D29)</f>
        <v/>
      </c>
      <c r="J28" s="40" t="str">
        <f>IF(B28="","",E28/F28)</f>
        <v/>
      </c>
      <c r="K28" s="40"/>
      <c r="L28" s="8"/>
      <c r="M28" s="70" t="str">
        <f>A28</f>
        <v>Q1</v>
      </c>
      <c r="N28" s="71" t="e">
        <f>IF(I28="",NA(),I28)</f>
        <v>#N/A</v>
      </c>
      <c r="O28" s="72" t="e">
        <f>IF(OR(I28="",I28=0),NA(),AVERAGE(I$28:I28))</f>
        <v>#N/A</v>
      </c>
      <c r="P28" s="66">
        <v>1</v>
      </c>
      <c r="Q28" s="66">
        <v>3</v>
      </c>
      <c r="R28" s="66"/>
      <c r="S28" s="66"/>
    </row>
    <row r="29" spans="1:19" x14ac:dyDescent="0.25">
      <c r="A29" s="29" t="s">
        <v>16</v>
      </c>
      <c r="B29" s="39"/>
      <c r="C29" s="39"/>
      <c r="D29" s="39" t="str">
        <f t="shared" ref="D29:D31" si="0">IF(B29="","",J29*C29)</f>
        <v/>
      </c>
      <c r="E29" s="39"/>
      <c r="F29" s="39" t="str">
        <f>IF(E29="", "", 563000)</f>
        <v/>
      </c>
      <c r="G29" s="39" t="str">
        <f>IF(B29="","",#REF!-B29)</f>
        <v/>
      </c>
      <c r="H29" s="40" t="str">
        <f t="shared" ref="H29:H31" si="1">IF(B29="","",B29/C29)</f>
        <v/>
      </c>
      <c r="I29" s="40" t="str">
        <f>IF(B29="","",B29/#REF!)</f>
        <v/>
      </c>
      <c r="J29" s="40" t="str">
        <f t="shared" ref="J29:J31" si="2">IF(B29="","",E29/F29)</f>
        <v/>
      </c>
      <c r="K29" s="40"/>
      <c r="L29" s="8"/>
      <c r="M29" s="70" t="str">
        <f t="shared" ref="M29:M31" si="3">A29</f>
        <v>Q2</v>
      </c>
      <c r="N29" s="71" t="e">
        <f t="shared" ref="N29:N31" si="4">IF(I29="",NA(),I29)</f>
        <v>#N/A</v>
      </c>
      <c r="O29" s="72" t="e">
        <f>IF(OR(I29="",I29=0),NA(),AVERAGE(I$28:I29))</f>
        <v>#N/A</v>
      </c>
      <c r="P29" s="66">
        <v>4</v>
      </c>
      <c r="Q29" s="66">
        <v>6</v>
      </c>
      <c r="R29" s="66"/>
      <c r="S29" s="66"/>
    </row>
    <row r="30" spans="1:19" x14ac:dyDescent="0.25">
      <c r="A30" s="29" t="s">
        <v>17</v>
      </c>
      <c r="B30" s="39"/>
      <c r="C30" s="39"/>
      <c r="D30" s="39" t="str">
        <f t="shared" si="0"/>
        <v/>
      </c>
      <c r="E30" s="39"/>
      <c r="F30" s="39" t="str">
        <f>IF(E30="", "", 493500)</f>
        <v/>
      </c>
      <c r="G30" s="39" t="str">
        <f t="shared" ref="G30:G31" si="5">IF(B30="","",D30-B30)</f>
        <v/>
      </c>
      <c r="H30" s="40" t="str">
        <f t="shared" si="1"/>
        <v/>
      </c>
      <c r="I30" s="40" t="str">
        <f t="shared" ref="I30:I31" si="6">IF(B30="","",B30/D30)</f>
        <v/>
      </c>
      <c r="J30" s="40" t="str">
        <f t="shared" si="2"/>
        <v/>
      </c>
      <c r="K30" s="41"/>
      <c r="L30" s="8"/>
      <c r="M30" s="70" t="str">
        <f t="shared" si="3"/>
        <v>Q3</v>
      </c>
      <c r="N30" s="71" t="e">
        <f t="shared" si="4"/>
        <v>#N/A</v>
      </c>
      <c r="O30" s="72" t="e">
        <f>IF(OR(I30="",I30=0),NA(),AVERAGE(I$28:I30))</f>
        <v>#N/A</v>
      </c>
      <c r="P30" s="66">
        <v>7</v>
      </c>
      <c r="Q30" s="66">
        <v>9</v>
      </c>
      <c r="R30" s="66"/>
      <c r="S30" s="66"/>
    </row>
    <row r="31" spans="1:19" x14ac:dyDescent="0.25">
      <c r="A31" s="29" t="s">
        <v>18</v>
      </c>
      <c r="B31" s="39"/>
      <c r="C31" s="39"/>
      <c r="D31" s="39" t="str">
        <f t="shared" si="0"/>
        <v/>
      </c>
      <c r="E31" s="39"/>
      <c r="F31" s="39" t="str">
        <f>IF(E31="", "", 267100)</f>
        <v/>
      </c>
      <c r="G31" s="39" t="str">
        <f t="shared" si="5"/>
        <v/>
      </c>
      <c r="H31" s="40" t="str">
        <f t="shared" si="1"/>
        <v/>
      </c>
      <c r="I31" s="40" t="str">
        <f t="shared" si="6"/>
        <v/>
      </c>
      <c r="J31" s="40" t="str">
        <f t="shared" si="2"/>
        <v/>
      </c>
      <c r="K31" s="41"/>
      <c r="L31" s="8"/>
      <c r="M31" s="70" t="str">
        <f t="shared" si="3"/>
        <v>Q4</v>
      </c>
      <c r="N31" s="71" t="e">
        <f t="shared" si="4"/>
        <v>#N/A</v>
      </c>
      <c r="O31" s="72" t="e">
        <f>IF(OR(I31="",I31=0),NA(),AVERAGE(I$28:I31))</f>
        <v>#N/A</v>
      </c>
      <c r="P31" s="66">
        <v>10</v>
      </c>
      <c r="Q31" s="66">
        <v>12</v>
      </c>
      <c r="R31" s="66"/>
      <c r="S31" s="66"/>
    </row>
    <row r="32" spans="1:19" x14ac:dyDescent="0.25">
      <c r="A32" s="63" t="s">
        <v>37</v>
      </c>
      <c r="B32" s="64">
        <f>SUM(B28:B31)</f>
        <v>0</v>
      </c>
      <c r="C32" s="64">
        <f t="shared" ref="C32:G32" si="7">SUM(C28:C31)</f>
        <v>0</v>
      </c>
      <c r="D32" s="64">
        <f>SUM(D29:D31)</f>
        <v>0</v>
      </c>
      <c r="E32" s="64">
        <f t="shared" si="7"/>
        <v>0</v>
      </c>
      <c r="F32" s="64">
        <f t="shared" si="7"/>
        <v>0</v>
      </c>
      <c r="G32" s="64">
        <f t="shared" si="7"/>
        <v>0</v>
      </c>
      <c r="H32" s="65" t="str">
        <f>IFERROR(AVERAGE(H28:H31),"")</f>
        <v/>
      </c>
      <c r="I32" s="65" t="str">
        <f t="shared" ref="I32:K32" si="8">IFERROR(AVERAGE(I28:I31),"")</f>
        <v/>
      </c>
      <c r="J32" s="65" t="str">
        <f t="shared" si="8"/>
        <v/>
      </c>
      <c r="K32" s="65" t="str">
        <f t="shared" si="8"/>
        <v/>
      </c>
      <c r="L32" s="8"/>
      <c r="M32" s="70"/>
      <c r="N32" s="70"/>
      <c r="O32" s="70"/>
      <c r="P32" s="66"/>
      <c r="Q32" s="66"/>
      <c r="R32" s="66"/>
      <c r="S32" s="66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8"/>
      <c r="M33" s="66"/>
      <c r="N33" s="66"/>
      <c r="O33" s="66"/>
      <c r="P33" s="66"/>
      <c r="Q33" s="66"/>
      <c r="R33" s="66"/>
      <c r="S33" s="66"/>
    </row>
    <row r="34" spans="1:19" x14ac:dyDescent="0.25">
      <c r="A34" s="86" t="s">
        <v>38</v>
      </c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"/>
      <c r="M34" s="66"/>
      <c r="N34" s="66"/>
      <c r="O34" s="66"/>
      <c r="P34" s="66"/>
      <c r="Q34" s="66"/>
      <c r="R34" s="66"/>
      <c r="S34" s="66"/>
    </row>
    <row r="35" spans="1:19" x14ac:dyDescent="0.25">
      <c r="A35" s="60" t="s">
        <v>39</v>
      </c>
      <c r="B35" s="60" t="s">
        <v>40</v>
      </c>
      <c r="C35" s="60" t="s">
        <v>41</v>
      </c>
      <c r="D35" s="60" t="s">
        <v>42</v>
      </c>
      <c r="E35" s="60" t="s">
        <v>43</v>
      </c>
      <c r="F35" s="60" t="s">
        <v>44</v>
      </c>
      <c r="G35" s="73" t="s">
        <v>45</v>
      </c>
      <c r="H35" s="73"/>
      <c r="I35" s="73"/>
      <c r="J35" s="73"/>
      <c r="K35" s="73"/>
      <c r="L35" s="8"/>
      <c r="M35" s="66"/>
      <c r="N35" s="66"/>
      <c r="O35" s="66"/>
      <c r="P35" s="66"/>
      <c r="Q35" s="66"/>
      <c r="R35" s="66"/>
      <c r="S35" s="66"/>
    </row>
    <row r="36" spans="1:19" x14ac:dyDescent="0.25">
      <c r="A36" s="42"/>
      <c r="B36" s="43"/>
      <c r="C36" s="44"/>
      <c r="D36" s="44"/>
      <c r="E36" s="45"/>
      <c r="F36" s="45"/>
      <c r="G36" s="87" t="s">
        <v>46</v>
      </c>
      <c r="H36" s="87"/>
      <c r="I36" s="87"/>
      <c r="J36" s="87"/>
      <c r="K36" s="87"/>
      <c r="L36" s="8"/>
      <c r="M36" s="66"/>
      <c r="N36" s="66"/>
      <c r="O36" s="66"/>
      <c r="P36" s="66"/>
      <c r="Q36" s="66"/>
      <c r="R36" s="66"/>
      <c r="S36" s="66"/>
    </row>
    <row r="37" spans="1:19" x14ac:dyDescent="0.25">
      <c r="A37" s="46"/>
      <c r="B37" s="46"/>
      <c r="C37" s="47"/>
      <c r="D37" s="48"/>
      <c r="E37" s="49"/>
      <c r="F37" s="50"/>
      <c r="G37" s="50"/>
      <c r="H37" s="50"/>
      <c r="I37" s="50"/>
      <c r="J37" s="50"/>
      <c r="K37" s="50"/>
      <c r="L37" s="8"/>
      <c r="M37" s="66"/>
      <c r="N37" s="66"/>
      <c r="O37" s="66"/>
      <c r="P37" s="66"/>
      <c r="Q37" s="66"/>
      <c r="R37" s="66"/>
      <c r="S37" s="66"/>
    </row>
    <row r="38" spans="1:19" x14ac:dyDescent="0.25">
      <c r="A38" s="86" t="s">
        <v>47</v>
      </c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"/>
      <c r="M38" s="66"/>
      <c r="N38" s="66"/>
      <c r="O38" s="66"/>
      <c r="P38" s="66"/>
      <c r="Q38" s="66"/>
      <c r="R38" s="66"/>
      <c r="S38" s="66"/>
    </row>
    <row r="39" spans="1:19" x14ac:dyDescent="0.25">
      <c r="A39" s="60" t="s">
        <v>39</v>
      </c>
      <c r="B39" s="60" t="s">
        <v>40</v>
      </c>
      <c r="C39" s="60" t="s">
        <v>48</v>
      </c>
      <c r="D39" s="60" t="s">
        <v>49</v>
      </c>
      <c r="E39" s="73" t="s">
        <v>44</v>
      </c>
      <c r="F39" s="73"/>
      <c r="G39" s="73"/>
      <c r="H39" s="73"/>
      <c r="I39" s="73"/>
      <c r="J39" s="73"/>
      <c r="K39" s="73"/>
      <c r="L39" s="8"/>
      <c r="M39" s="66"/>
      <c r="N39" s="66"/>
      <c r="O39" s="66"/>
      <c r="P39" s="66"/>
      <c r="Q39" s="66"/>
      <c r="R39" s="66"/>
      <c r="S39" s="66"/>
    </row>
    <row r="40" spans="1:19" x14ac:dyDescent="0.25">
      <c r="A40" s="42"/>
      <c r="B40" s="43"/>
      <c r="C40" s="44"/>
      <c r="D40" s="44"/>
      <c r="E40" s="74" t="s">
        <v>46</v>
      </c>
      <c r="F40" s="75"/>
      <c r="G40" s="75"/>
      <c r="H40" s="75"/>
      <c r="I40" s="75"/>
      <c r="J40" s="75"/>
      <c r="K40" s="76"/>
      <c r="L40" s="8"/>
      <c r="M40" s="66"/>
      <c r="N40" s="66"/>
      <c r="O40" s="66"/>
      <c r="P40" s="66"/>
      <c r="Q40" s="66"/>
      <c r="R40" s="66"/>
      <c r="S40" s="66"/>
    </row>
    <row r="41" spans="1:19" x14ac:dyDescent="0.25">
      <c r="A41" s="46"/>
      <c r="B41" s="46"/>
      <c r="C41" s="47"/>
      <c r="D41" s="48"/>
      <c r="E41" s="49"/>
      <c r="F41" s="50"/>
      <c r="G41" s="50"/>
      <c r="H41" s="50"/>
      <c r="I41" s="50"/>
      <c r="J41" s="50"/>
      <c r="K41" s="50"/>
      <c r="L41" s="8"/>
      <c r="M41" s="66"/>
      <c r="N41" s="66"/>
      <c r="O41" s="66"/>
      <c r="P41" s="66"/>
      <c r="Q41" s="66"/>
      <c r="R41" s="66"/>
      <c r="S41" s="66"/>
    </row>
    <row r="42" spans="1:19" x14ac:dyDescent="0.25">
      <c r="A42" s="58" t="s">
        <v>50</v>
      </c>
      <c r="B42" s="57"/>
      <c r="C42" s="57"/>
      <c r="D42" s="57"/>
      <c r="E42" s="57"/>
      <c r="F42" s="57"/>
      <c r="G42" s="57"/>
      <c r="H42" s="57"/>
      <c r="I42" s="57"/>
      <c r="J42" s="57"/>
      <c r="K42" s="59"/>
      <c r="L42" s="8"/>
      <c r="M42" s="66"/>
      <c r="N42" s="66"/>
      <c r="O42" s="66"/>
      <c r="P42" s="66"/>
      <c r="Q42" s="66"/>
      <c r="R42" s="66"/>
      <c r="S42" s="66"/>
    </row>
    <row r="43" spans="1:19" x14ac:dyDescent="0.25">
      <c r="A43" s="62" t="s">
        <v>51</v>
      </c>
      <c r="B43" s="62" t="s">
        <v>40</v>
      </c>
      <c r="C43" s="62" t="s">
        <v>52</v>
      </c>
      <c r="D43" s="62" t="s">
        <v>53</v>
      </c>
      <c r="E43" s="77" t="s">
        <v>54</v>
      </c>
      <c r="F43" s="78"/>
      <c r="G43" s="78"/>
      <c r="H43" s="78"/>
      <c r="I43" s="78"/>
      <c r="J43" s="78"/>
      <c r="K43" s="79"/>
      <c r="L43" s="8"/>
      <c r="M43" s="66"/>
      <c r="N43" s="66"/>
      <c r="O43" s="66"/>
      <c r="P43" s="66"/>
      <c r="Q43" s="66"/>
      <c r="R43" s="66"/>
      <c r="S43" s="66"/>
    </row>
    <row r="44" spans="1:19" x14ac:dyDescent="0.25">
      <c r="A44" s="51"/>
      <c r="B44" s="42"/>
      <c r="C44" s="44"/>
      <c r="D44" s="52"/>
      <c r="E44" s="74" t="s">
        <v>55</v>
      </c>
      <c r="F44" s="75"/>
      <c r="G44" s="75"/>
      <c r="H44" s="75"/>
      <c r="I44" s="75"/>
      <c r="J44" s="75"/>
      <c r="K44" s="76"/>
      <c r="L44" s="8"/>
      <c r="M44" s="66"/>
      <c r="N44" s="66"/>
      <c r="O44" s="66"/>
      <c r="P44" s="66"/>
      <c r="Q44" s="66"/>
      <c r="R44" s="66"/>
      <c r="S44" s="66"/>
    </row>
    <row r="45" spans="1:19" x14ac:dyDescent="0.25">
      <c r="A45" s="53" t="s">
        <v>56</v>
      </c>
      <c r="B45" s="54"/>
      <c r="C45" s="54"/>
      <c r="D45" s="54"/>
      <c r="E45" s="10"/>
      <c r="F45" s="10"/>
      <c r="G45" s="10"/>
      <c r="H45" s="10"/>
      <c r="I45" s="10"/>
      <c r="J45" s="10"/>
      <c r="K45" s="10"/>
      <c r="L45" s="8"/>
      <c r="M45" s="66"/>
      <c r="N45" s="66"/>
      <c r="O45" s="66"/>
      <c r="P45" s="66"/>
      <c r="Q45" s="66"/>
      <c r="R45" s="66"/>
      <c r="S45" s="66"/>
    </row>
    <row r="46" spans="1:19" x14ac:dyDescent="0.25">
      <c r="A46" s="54"/>
      <c r="B46" s="54"/>
      <c r="C46" s="54"/>
      <c r="D46" s="54"/>
      <c r="E46" s="10"/>
      <c r="F46" s="10"/>
      <c r="G46" s="10"/>
      <c r="H46" s="10"/>
      <c r="I46" s="10"/>
      <c r="J46" s="10"/>
      <c r="K46" s="10"/>
      <c r="L46" s="8"/>
      <c r="M46" s="66"/>
      <c r="N46" s="66"/>
      <c r="O46" s="66"/>
      <c r="P46" s="66"/>
      <c r="Q46" s="66"/>
      <c r="R46" s="66"/>
      <c r="S46" s="66"/>
    </row>
    <row r="47" spans="1:19" x14ac:dyDescent="0.25">
      <c r="A47" s="54"/>
      <c r="B47" s="54"/>
      <c r="C47" s="54"/>
      <c r="D47" s="54"/>
      <c r="E47" s="10"/>
      <c r="F47" s="10"/>
      <c r="G47" s="10"/>
      <c r="H47" s="10"/>
      <c r="I47" s="10"/>
      <c r="J47" s="10"/>
      <c r="K47" s="10"/>
      <c r="L47" s="8"/>
      <c r="M47" s="66"/>
      <c r="N47" s="66"/>
      <c r="O47" s="66"/>
      <c r="P47" s="66"/>
      <c r="Q47" s="66"/>
      <c r="R47" s="66"/>
      <c r="S47" s="66"/>
    </row>
    <row r="48" spans="1:19" x14ac:dyDescent="0.25">
      <c r="A48" s="54"/>
      <c r="B48" s="54"/>
      <c r="C48" s="54"/>
      <c r="D48" s="54"/>
      <c r="E48" s="10"/>
      <c r="F48" s="10"/>
      <c r="G48" s="10"/>
      <c r="H48" s="10"/>
      <c r="I48" s="10"/>
      <c r="J48" s="10"/>
      <c r="K48" s="10"/>
      <c r="L48" s="8"/>
      <c r="M48" s="66"/>
      <c r="N48" s="66"/>
      <c r="O48" s="66"/>
      <c r="P48" s="66"/>
      <c r="Q48" s="66"/>
      <c r="R48" s="66"/>
      <c r="S48" s="66"/>
    </row>
    <row r="49" spans="1:19" x14ac:dyDescent="0.25">
      <c r="A49" s="54"/>
      <c r="B49" s="54"/>
      <c r="C49" s="54"/>
      <c r="D49" s="54"/>
      <c r="E49" s="10"/>
      <c r="F49" s="10"/>
      <c r="G49" s="10"/>
      <c r="H49" s="10"/>
      <c r="I49" s="10"/>
      <c r="J49" s="10"/>
      <c r="K49" s="10"/>
      <c r="L49" s="8"/>
      <c r="M49" s="66"/>
      <c r="N49" s="66"/>
      <c r="O49" s="66"/>
      <c r="P49" s="66"/>
      <c r="Q49" s="66"/>
      <c r="R49" s="66"/>
      <c r="S49" s="66"/>
    </row>
    <row r="50" spans="1:19" x14ac:dyDescent="0.25">
      <c r="A50" s="54"/>
      <c r="B50" s="54"/>
      <c r="C50" s="54"/>
      <c r="D50" s="54"/>
      <c r="E50" s="10"/>
      <c r="F50" s="10"/>
      <c r="G50" s="10"/>
      <c r="H50" s="10"/>
      <c r="I50" s="10"/>
      <c r="J50" s="10"/>
      <c r="K50" s="10"/>
      <c r="L50" s="8"/>
      <c r="M50" s="66"/>
      <c r="N50" s="66"/>
      <c r="O50" s="66"/>
      <c r="P50" s="66"/>
      <c r="Q50" s="66"/>
      <c r="R50" s="66"/>
      <c r="S50" s="66"/>
    </row>
    <row r="51" spans="1:19" x14ac:dyDescent="0.25">
      <c r="A51" s="54"/>
      <c r="B51" s="54"/>
      <c r="C51" s="54"/>
      <c r="D51" s="54"/>
      <c r="E51" s="10"/>
      <c r="F51" s="10"/>
      <c r="G51" s="10"/>
      <c r="H51" s="10"/>
      <c r="I51" s="10"/>
      <c r="J51" s="10"/>
      <c r="K51" s="10"/>
      <c r="L51" s="8"/>
      <c r="M51" s="66"/>
      <c r="N51" s="66"/>
      <c r="O51" s="66"/>
      <c r="P51" s="66"/>
      <c r="Q51" s="66"/>
      <c r="R51" s="66"/>
      <c r="S51" s="66"/>
    </row>
    <row r="52" spans="1:19" x14ac:dyDescent="0.25">
      <c r="A52" s="54"/>
      <c r="B52" s="54"/>
      <c r="C52" s="54"/>
      <c r="D52" s="54"/>
      <c r="E52" s="10"/>
      <c r="F52" s="10"/>
      <c r="G52" s="10"/>
      <c r="H52" s="10"/>
      <c r="I52" s="10"/>
      <c r="J52" s="10"/>
      <c r="K52" s="10"/>
      <c r="L52" s="8"/>
      <c r="M52" s="66"/>
      <c r="N52" s="66"/>
      <c r="O52" s="66"/>
      <c r="P52" s="66"/>
      <c r="Q52" s="66"/>
      <c r="R52" s="66"/>
      <c r="S52" s="66"/>
    </row>
    <row r="53" spans="1:19" x14ac:dyDescent="0.25">
      <c r="A53" s="54"/>
      <c r="B53" s="54"/>
      <c r="C53" s="54"/>
      <c r="D53" s="54"/>
      <c r="E53" s="10"/>
      <c r="F53" s="10"/>
      <c r="G53" s="10"/>
      <c r="H53" s="10"/>
      <c r="I53" s="10"/>
      <c r="J53" s="10"/>
      <c r="K53" s="10"/>
      <c r="L53" s="8"/>
      <c r="M53" s="66"/>
      <c r="N53" s="66"/>
      <c r="O53" s="66"/>
      <c r="P53" s="66"/>
      <c r="Q53" s="66"/>
      <c r="R53" s="66"/>
      <c r="S53" s="66"/>
    </row>
    <row r="54" spans="1:19" x14ac:dyDescent="0.25">
      <c r="A54" s="54"/>
      <c r="B54" s="54"/>
      <c r="C54" s="54"/>
      <c r="D54" s="54"/>
      <c r="E54" s="10"/>
      <c r="F54" s="10"/>
      <c r="G54" s="10"/>
      <c r="H54" s="10"/>
      <c r="I54" s="10"/>
      <c r="J54" s="10"/>
      <c r="K54" s="10"/>
      <c r="L54" s="8"/>
      <c r="M54" s="66"/>
      <c r="N54" s="66"/>
      <c r="O54" s="66"/>
      <c r="P54" s="66"/>
      <c r="Q54" s="66"/>
      <c r="R54" s="66"/>
      <c r="S54" s="66"/>
    </row>
    <row r="55" spans="1:19" x14ac:dyDescent="0.25">
      <c r="A55" s="55"/>
      <c r="B55" s="55"/>
      <c r="C55" s="55"/>
      <c r="D55" s="55"/>
      <c r="E55" s="56"/>
      <c r="F55" s="56"/>
      <c r="G55" s="56"/>
      <c r="H55" s="56"/>
      <c r="I55" s="56"/>
      <c r="J55" s="56"/>
      <c r="K55" s="56"/>
      <c r="L55" s="8"/>
      <c r="M55" s="66"/>
      <c r="N55" s="66"/>
      <c r="O55" s="66"/>
      <c r="P55" s="66"/>
      <c r="Q55" s="66"/>
      <c r="R55" s="66"/>
      <c r="S55" s="66"/>
    </row>
    <row r="56" spans="1:19" x14ac:dyDescent="0.25">
      <c r="A56" s="55"/>
      <c r="B56" s="55"/>
      <c r="C56" s="55"/>
      <c r="D56" s="55"/>
      <c r="E56" s="56"/>
      <c r="F56" s="56"/>
      <c r="G56" s="56"/>
      <c r="H56" s="56"/>
      <c r="I56" s="56"/>
      <c r="J56" s="56"/>
      <c r="K56" s="56"/>
      <c r="L56" s="8"/>
      <c r="M56" s="66"/>
      <c r="N56" s="66"/>
      <c r="O56" s="66"/>
      <c r="P56" s="66"/>
      <c r="Q56" s="66"/>
      <c r="R56" s="66"/>
      <c r="S56" s="66"/>
    </row>
    <row r="57" spans="1:19" x14ac:dyDescent="0.25">
      <c r="A57" s="55"/>
      <c r="B57" s="55"/>
      <c r="C57" s="55"/>
      <c r="D57" s="55"/>
      <c r="E57" s="56"/>
      <c r="F57" s="56"/>
      <c r="G57" s="56"/>
      <c r="H57" s="56"/>
      <c r="I57" s="56"/>
      <c r="J57" s="56"/>
      <c r="K57" s="56"/>
      <c r="L57" s="8"/>
      <c r="M57" s="66"/>
      <c r="N57" s="66"/>
      <c r="O57" s="66"/>
      <c r="P57" s="66"/>
      <c r="Q57" s="66"/>
      <c r="R57" s="66"/>
      <c r="S57" s="66"/>
    </row>
    <row r="58" spans="1:19" x14ac:dyDescent="0.25">
      <c r="A58" s="55"/>
      <c r="B58" s="55"/>
      <c r="C58" s="55"/>
      <c r="D58" s="55"/>
      <c r="E58" s="56"/>
      <c r="F58" s="56"/>
      <c r="G58" s="56"/>
      <c r="H58" s="56"/>
      <c r="I58" s="56"/>
      <c r="J58" s="56"/>
      <c r="K58" s="56"/>
      <c r="L58" s="8"/>
      <c r="M58" s="66"/>
      <c r="N58" s="66"/>
      <c r="O58" s="66"/>
      <c r="P58" s="66"/>
      <c r="Q58" s="66"/>
      <c r="R58" s="66"/>
      <c r="S58" s="66"/>
    </row>
    <row r="59" spans="1:19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66"/>
      <c r="N59" s="66"/>
      <c r="O59" s="66"/>
      <c r="P59" s="66"/>
      <c r="Q59" s="66"/>
      <c r="R59" s="66"/>
      <c r="S59" s="66"/>
    </row>
    <row r="60" spans="1:19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66"/>
      <c r="N60" s="66"/>
      <c r="O60" s="66"/>
      <c r="P60" s="66"/>
      <c r="Q60" s="66"/>
      <c r="R60" s="66"/>
      <c r="S60" s="66"/>
    </row>
    <row r="61" spans="1:19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66"/>
      <c r="N61" s="66"/>
      <c r="O61" s="66"/>
      <c r="P61" s="66"/>
      <c r="Q61" s="66"/>
      <c r="R61" s="66"/>
      <c r="S61" s="66"/>
    </row>
  </sheetData>
  <mergeCells count="16">
    <mergeCell ref="B20:F20"/>
    <mergeCell ref="A5:C5"/>
    <mergeCell ref="I5:K5"/>
    <mergeCell ref="I6:K6"/>
    <mergeCell ref="I7:K7"/>
    <mergeCell ref="A14:F14"/>
    <mergeCell ref="E39:K39"/>
    <mergeCell ref="E40:K40"/>
    <mergeCell ref="E43:K43"/>
    <mergeCell ref="E44:K44"/>
    <mergeCell ref="A22:H22"/>
    <mergeCell ref="A26:K26"/>
    <mergeCell ref="A34:K34"/>
    <mergeCell ref="G35:K35"/>
    <mergeCell ref="G36:K36"/>
    <mergeCell ref="A38:K38"/>
  </mergeCells>
  <conditionalFormatting sqref="B16:F19">
    <cfRule type="dataBar" priority="3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{94D4D2A7-353C-4FAC-B151-778190DE6141}</x14:id>
        </ext>
      </extLst>
    </cfRule>
    <cfRule type="dataBar" priority="4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{7A9662D3-DCCA-4A3E-B757-C17FBABA1303}</x14:id>
        </ext>
      </extLst>
    </cfRule>
  </conditionalFormatting>
  <conditionalFormatting sqref="H28:K28 H29:J31">
    <cfRule type="dataBar" priority="5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{68D08FB6-8AEA-4635-BE41-4DAAF0EC5D99}</x14:id>
        </ext>
      </extLst>
    </cfRule>
    <cfRule type="dataBar" priority="6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{13ED2C96-F054-4C89-8AAA-870685D4FACC}</x14:id>
        </ext>
      </extLst>
    </cfRule>
  </conditionalFormatting>
  <conditionalFormatting sqref="K29">
    <cfRule type="dataBar" priority="1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{46744195-6FA0-469C-A381-8EC0AE8BE53B}</x14:id>
        </ext>
      </extLst>
    </cfRule>
    <cfRule type="dataBar" priority="2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{C4C52CFA-28F6-4AFC-8647-09EDA1C3BDE5}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D4D2A7-353C-4FAC-B151-778190DE6141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7A9662D3-DCCA-4A3E-B757-C17FBABA1303}">
            <x14:dataBar minLength="0" maxLength="100" gradient="0" negativeBarColorSameAsPositive="1" axisPosition="none">
              <x14:cfvo type="min"/>
              <x14:cfvo type="max"/>
            </x14:dataBar>
          </x14:cfRule>
          <xm:sqref>B16:F19</xm:sqref>
        </x14:conditionalFormatting>
        <x14:conditionalFormatting xmlns:xm="http://schemas.microsoft.com/office/excel/2006/main">
          <x14:cfRule type="dataBar" id="{68D08FB6-8AEA-4635-BE41-4DAAF0EC5D99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13ED2C96-F054-4C89-8AAA-870685D4FACC}">
            <x14:dataBar minLength="0" maxLength="100" gradient="0" negativeBarColorSameAsPositive="1" axisPosition="none">
              <x14:cfvo type="min"/>
              <x14:cfvo type="max"/>
            </x14:dataBar>
          </x14:cfRule>
          <xm:sqref>H28:K28 H29:J31</xm:sqref>
        </x14:conditionalFormatting>
        <x14:conditionalFormatting xmlns:xm="http://schemas.microsoft.com/office/excel/2006/main">
          <x14:cfRule type="dataBar" id="{46744195-6FA0-469C-A381-8EC0AE8BE53B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C4C52CFA-28F6-4AFC-8647-09EDA1C3BDE5}">
            <x14:dataBar minLength="0" maxLength="100" gradient="0" negativeBarColorSameAsPositive="1" axisPosition="none">
              <x14:cfvo type="min"/>
              <x14:cfvo type="max"/>
            </x14:dataBar>
          </x14:cfRule>
          <xm:sqref>K29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5C4DD-3031-46A2-8EFD-AA926581AE71}">
  <sheetPr codeName="Sheet5"/>
  <dimension ref="A1:AA61"/>
  <sheetViews>
    <sheetView topLeftCell="A14" zoomScale="130" zoomScaleNormal="130" workbookViewId="0">
      <selection activeCell="F32" sqref="F32"/>
    </sheetView>
  </sheetViews>
  <sheetFormatPr defaultRowHeight="15" x14ac:dyDescent="0.25"/>
  <cols>
    <col min="1" max="1" width="16.7109375" style="5" customWidth="1"/>
    <col min="2" max="2" width="19.5703125" style="5" customWidth="1"/>
    <col min="3" max="3" width="15.140625" style="5" customWidth="1"/>
    <col min="4" max="4" width="13.28515625" style="5" customWidth="1"/>
    <col min="5" max="5" width="12.5703125" style="5" customWidth="1"/>
    <col min="6" max="6" width="21.42578125" style="5" customWidth="1"/>
    <col min="7" max="7" width="38.42578125" style="5" customWidth="1"/>
    <col min="8" max="12" width="9.140625" style="5"/>
    <col min="28" max="16384" width="9.140625" style="5"/>
  </cols>
  <sheetData>
    <row r="1" spans="1:19" ht="15.75" x14ac:dyDescent="0.25">
      <c r="A1" s="3"/>
      <c r="B1" s="4"/>
      <c r="C1" s="4"/>
      <c r="D1" s="3"/>
      <c r="E1" s="2"/>
      <c r="F1" s="2" t="s">
        <v>65</v>
      </c>
      <c r="G1" s="4"/>
      <c r="H1" s="4"/>
      <c r="I1" s="4"/>
      <c r="J1" s="4"/>
      <c r="K1" s="4"/>
    </row>
    <row r="2" spans="1:19" ht="15.75" x14ac:dyDescent="0.25">
      <c r="A2" s="4"/>
      <c r="B2" s="4"/>
      <c r="C2" s="4"/>
      <c r="D2" s="3"/>
      <c r="E2" s="6"/>
      <c r="F2" s="2" t="s">
        <v>66</v>
      </c>
      <c r="G2" s="3"/>
      <c r="H2" s="3"/>
      <c r="I2" s="4"/>
      <c r="J2" s="4"/>
      <c r="K2" s="4"/>
    </row>
    <row r="3" spans="1:19" x14ac:dyDescent="0.25">
      <c r="A3" s="8"/>
      <c r="B3" s="8"/>
      <c r="C3" s="9"/>
      <c r="D3" s="10"/>
      <c r="E3" s="11"/>
      <c r="F3" s="7" t="s">
        <v>59</v>
      </c>
      <c r="G3" s="9"/>
      <c r="H3" s="9"/>
      <c r="I3" s="9"/>
      <c r="J3" s="9"/>
      <c r="K3" s="9"/>
    </row>
    <row r="4" spans="1:19" ht="33" customHeight="1" x14ac:dyDescent="0.25">
      <c r="A4" s="8"/>
      <c r="B4" s="8"/>
      <c r="C4" s="8"/>
      <c r="D4" s="10"/>
      <c r="E4" s="12"/>
      <c r="F4" s="12" t="str">
        <f ca="1">IF(COUNTA(B28:B31)=0, "Reporting Period: " &amp; YEAR(TODAY()),
    IF(COUNTA(B28:B31)=1, "Reporting Period: January - March " &amp; YEAR(TODAY()),
    IF(COUNTA(B28:B31)=2, "Reporting Period: April - June " &amp; YEAR(TODAY()),
    IF(COUNTA(B28:B31)=3, "Reporting Period: July - September " &amp; YEAR(TODAY()),
    "Reporting Period: October - December " &amp; YEAR(TODAY())))))</f>
        <v>Reporting Period: 2024</v>
      </c>
      <c r="G4" s="13"/>
      <c r="H4" s="13"/>
      <c r="I4" s="13"/>
      <c r="J4" s="13"/>
      <c r="K4" s="13"/>
    </row>
    <row r="5" spans="1:19" x14ac:dyDescent="0.25">
      <c r="A5" s="80" t="s">
        <v>1</v>
      </c>
      <c r="B5" s="81"/>
      <c r="C5" s="82"/>
      <c r="D5" s="14"/>
      <c r="E5" s="14"/>
      <c r="F5" s="8"/>
      <c r="G5" s="15"/>
      <c r="H5" s="15"/>
      <c r="I5" s="88"/>
      <c r="J5" s="88"/>
      <c r="K5" s="88"/>
    </row>
    <row r="6" spans="1:19" x14ac:dyDescent="0.25">
      <c r="A6" s="16"/>
      <c r="B6" s="17" t="s">
        <v>2</v>
      </c>
      <c r="C6" s="18">
        <v>7.4</v>
      </c>
      <c r="D6" s="19"/>
      <c r="E6" s="19"/>
      <c r="F6" s="8"/>
      <c r="G6" s="15"/>
      <c r="H6" s="15"/>
      <c r="I6" s="88"/>
      <c r="J6" s="88"/>
      <c r="K6" s="88"/>
    </row>
    <row r="7" spans="1:19" x14ac:dyDescent="0.25">
      <c r="A7" s="16"/>
      <c r="B7" s="17" t="s">
        <v>3</v>
      </c>
      <c r="C7" s="18">
        <v>5</v>
      </c>
      <c r="D7" s="19"/>
      <c r="E7" s="19"/>
      <c r="F7" s="8"/>
      <c r="G7" s="15"/>
      <c r="H7" s="15"/>
      <c r="I7" s="88"/>
      <c r="J7" s="88"/>
      <c r="K7" s="88"/>
    </row>
    <row r="8" spans="1:19" x14ac:dyDescent="0.25">
      <c r="A8" s="16"/>
      <c r="B8" s="17" t="s">
        <v>4</v>
      </c>
      <c r="C8" s="20">
        <v>43</v>
      </c>
      <c r="D8" s="21"/>
      <c r="E8" s="21"/>
      <c r="F8" s="8"/>
      <c r="G8" s="15"/>
      <c r="H8" s="8"/>
      <c r="I8" s="8"/>
      <c r="J8" s="8"/>
      <c r="K8" s="8"/>
    </row>
    <row r="9" spans="1:19" x14ac:dyDescent="0.25">
      <c r="A9" s="16"/>
      <c r="B9" s="17" t="s">
        <v>5</v>
      </c>
      <c r="C9" s="22">
        <v>19400</v>
      </c>
      <c r="D9" s="21"/>
      <c r="E9" s="21"/>
      <c r="F9" s="8"/>
      <c r="G9" s="15"/>
      <c r="H9" s="8"/>
      <c r="I9" s="8"/>
      <c r="J9" s="8"/>
      <c r="K9" s="8"/>
    </row>
    <row r="10" spans="1:19" x14ac:dyDescent="0.25">
      <c r="A10" s="16"/>
      <c r="B10" s="17" t="s">
        <v>6</v>
      </c>
      <c r="C10" s="20">
        <v>2</v>
      </c>
      <c r="D10" s="21"/>
      <c r="E10" s="21"/>
      <c r="F10" s="8"/>
      <c r="G10" s="15"/>
      <c r="H10" s="8"/>
      <c r="I10" s="8"/>
      <c r="J10" s="8"/>
      <c r="K10" s="8"/>
    </row>
    <row r="11" spans="1:19" x14ac:dyDescent="0.25">
      <c r="A11" s="16"/>
      <c r="B11" s="17" t="s">
        <v>7</v>
      </c>
      <c r="C11" s="20">
        <v>43</v>
      </c>
      <c r="D11" s="21"/>
      <c r="E11" s="21"/>
      <c r="F11" s="8"/>
      <c r="G11" s="15"/>
      <c r="H11" s="8"/>
      <c r="I11" s="8"/>
      <c r="J11" s="8"/>
      <c r="K11" s="8"/>
    </row>
    <row r="12" spans="1:19" x14ac:dyDescent="0.25">
      <c r="A12" s="23"/>
      <c r="B12" s="23"/>
      <c r="C12" s="24"/>
      <c r="D12" s="21"/>
      <c r="E12" s="21"/>
      <c r="F12" s="8"/>
      <c r="G12" s="8"/>
      <c r="H12" s="8"/>
      <c r="I12" s="8"/>
      <c r="J12" s="8"/>
      <c r="K12" s="8"/>
    </row>
    <row r="13" spans="1:19" x14ac:dyDescent="0.25">
      <c r="A13" s="25"/>
      <c r="B13" s="25"/>
      <c r="C13" s="26"/>
      <c r="D13" s="21"/>
      <c r="E13" s="21"/>
      <c r="F13" s="8"/>
      <c r="G13" s="8"/>
      <c r="H13" s="8"/>
      <c r="I13" s="8"/>
      <c r="J13" s="8"/>
      <c r="K13" s="8"/>
    </row>
    <row r="14" spans="1:19" x14ac:dyDescent="0.25">
      <c r="A14" s="89" t="s">
        <v>8</v>
      </c>
      <c r="B14" s="89"/>
      <c r="C14" s="89"/>
      <c r="D14" s="89"/>
      <c r="E14" s="89"/>
      <c r="F14" s="89"/>
      <c r="G14" s="8"/>
      <c r="H14" s="8"/>
      <c r="I14" s="8"/>
      <c r="J14" s="8"/>
      <c r="K14" s="8"/>
      <c r="L14" s="8"/>
      <c r="M14" s="66"/>
      <c r="N14" s="66"/>
      <c r="O14" s="66"/>
      <c r="P14" s="66"/>
      <c r="Q14" s="66"/>
      <c r="R14" s="66"/>
      <c r="S14" s="66"/>
    </row>
    <row r="15" spans="1:19" ht="16.5" x14ac:dyDescent="0.25">
      <c r="A15" s="60" t="s">
        <v>9</v>
      </c>
      <c r="B15" s="60" t="s">
        <v>10</v>
      </c>
      <c r="C15" s="60" t="s">
        <v>11</v>
      </c>
      <c r="D15" s="60" t="s">
        <v>12</v>
      </c>
      <c r="E15" s="60" t="s">
        <v>13</v>
      </c>
      <c r="F15" s="60" t="s">
        <v>14</v>
      </c>
      <c r="G15" s="8"/>
      <c r="H15" s="8"/>
      <c r="I15" s="8"/>
      <c r="J15" s="8"/>
      <c r="K15" s="8"/>
      <c r="L15" s="8"/>
      <c r="M15" s="66"/>
      <c r="N15" s="67"/>
      <c r="O15" s="68"/>
      <c r="P15" s="66"/>
      <c r="Q15" s="66"/>
      <c r="R15" s="66"/>
      <c r="S15" s="66"/>
    </row>
    <row r="16" spans="1:19" x14ac:dyDescent="0.25">
      <c r="A16" s="29" t="s">
        <v>15</v>
      </c>
      <c r="B16" s="30"/>
      <c r="C16" s="30"/>
      <c r="D16" s="30"/>
      <c r="E16" s="30"/>
      <c r="F16" s="30"/>
      <c r="G16" s="8"/>
      <c r="H16" s="8"/>
      <c r="I16" s="8"/>
      <c r="J16" s="8"/>
      <c r="K16" s="8"/>
      <c r="L16" s="8"/>
      <c r="M16" s="66"/>
      <c r="N16" s="67"/>
      <c r="O16" s="68"/>
      <c r="P16" s="66"/>
      <c r="Q16" s="66"/>
      <c r="R16" s="66"/>
      <c r="S16" s="66"/>
    </row>
    <row r="17" spans="1:19" x14ac:dyDescent="0.25">
      <c r="A17" s="29" t="s">
        <v>16</v>
      </c>
      <c r="B17" s="30"/>
      <c r="C17" s="30"/>
      <c r="D17" s="30"/>
      <c r="E17" s="30"/>
      <c r="F17" s="30"/>
      <c r="G17" s="8"/>
      <c r="H17" s="8"/>
      <c r="I17" s="8"/>
      <c r="J17" s="8"/>
      <c r="K17" s="8"/>
      <c r="L17" s="8"/>
      <c r="M17" s="66"/>
      <c r="N17" s="67"/>
      <c r="O17" s="68"/>
      <c r="P17" s="66"/>
      <c r="Q17" s="66"/>
      <c r="R17" s="66"/>
      <c r="S17" s="66"/>
    </row>
    <row r="18" spans="1:19" x14ac:dyDescent="0.25">
      <c r="A18" s="29" t="s">
        <v>17</v>
      </c>
      <c r="B18" s="30"/>
      <c r="C18" s="30"/>
      <c r="D18" s="30"/>
      <c r="E18" s="30"/>
      <c r="F18" s="30"/>
      <c r="G18" s="8"/>
      <c r="H18" s="8"/>
      <c r="I18" s="8"/>
      <c r="J18" s="8"/>
      <c r="K18" s="8"/>
      <c r="L18" s="8"/>
      <c r="M18" s="66"/>
      <c r="N18" s="67"/>
      <c r="O18" s="68"/>
      <c r="P18" s="66"/>
      <c r="Q18" s="66"/>
      <c r="R18" s="66"/>
      <c r="S18" s="66"/>
    </row>
    <row r="19" spans="1:19" x14ac:dyDescent="0.25">
      <c r="A19" s="29" t="s">
        <v>18</v>
      </c>
      <c r="B19" s="30"/>
      <c r="C19" s="30"/>
      <c r="D19" s="30"/>
      <c r="E19" s="30"/>
      <c r="F19" s="30"/>
      <c r="G19" s="8"/>
      <c r="H19" s="8"/>
      <c r="I19" s="8"/>
      <c r="J19" s="8"/>
      <c r="K19" s="8"/>
      <c r="L19" s="8"/>
      <c r="M19" s="66"/>
      <c r="N19" s="67"/>
      <c r="O19" s="68"/>
      <c r="P19" s="66"/>
      <c r="Q19" s="66"/>
      <c r="R19" s="66"/>
      <c r="S19" s="66"/>
    </row>
    <row r="20" spans="1:19" x14ac:dyDescent="0.25">
      <c r="A20" s="31" t="s">
        <v>19</v>
      </c>
      <c r="B20" s="90"/>
      <c r="C20" s="90"/>
      <c r="D20" s="90"/>
      <c r="E20" s="90"/>
      <c r="F20" s="90"/>
      <c r="G20" s="8"/>
      <c r="H20" s="8"/>
      <c r="I20" s="8"/>
      <c r="J20" s="8"/>
      <c r="K20" s="8"/>
      <c r="L20" s="8"/>
      <c r="M20" s="66"/>
      <c r="N20" s="67"/>
      <c r="O20" s="68"/>
      <c r="P20" s="66"/>
      <c r="Q20" s="66"/>
      <c r="R20" s="66"/>
      <c r="S20" s="66"/>
    </row>
    <row r="21" spans="1:19" x14ac:dyDescent="0.25">
      <c r="A21" s="32"/>
      <c r="B21" s="32"/>
      <c r="C21" s="33"/>
      <c r="D21" s="34"/>
      <c r="E21" s="34"/>
      <c r="F21" s="8"/>
      <c r="G21" s="8"/>
      <c r="H21" s="8"/>
      <c r="I21" s="8"/>
      <c r="J21" s="8"/>
      <c r="K21" s="8"/>
      <c r="L21" s="8"/>
      <c r="M21" s="66"/>
      <c r="N21" s="67"/>
      <c r="O21" s="68"/>
      <c r="P21" s="66"/>
      <c r="Q21" s="66"/>
      <c r="R21" s="66"/>
      <c r="S21" s="66"/>
    </row>
    <row r="22" spans="1:19" x14ac:dyDescent="0.25">
      <c r="A22" s="80" t="s">
        <v>20</v>
      </c>
      <c r="B22" s="81"/>
      <c r="C22" s="81"/>
      <c r="D22" s="81"/>
      <c r="E22" s="81"/>
      <c r="F22" s="81"/>
      <c r="G22" s="81"/>
      <c r="H22" s="82"/>
      <c r="I22" s="8"/>
      <c r="J22" s="8"/>
      <c r="K22" s="27"/>
      <c r="L22" s="28"/>
      <c r="M22" s="66"/>
      <c r="N22" s="66"/>
      <c r="O22" s="66"/>
      <c r="P22" s="66"/>
      <c r="Q22" s="66"/>
      <c r="R22" s="66"/>
      <c r="S22" s="66"/>
    </row>
    <row r="23" spans="1:19" ht="56.25" x14ac:dyDescent="0.25">
      <c r="A23" s="61" t="s">
        <v>21</v>
      </c>
      <c r="B23" s="61" t="s">
        <v>22</v>
      </c>
      <c r="C23" s="61" t="s">
        <v>23</v>
      </c>
      <c r="D23" s="61" t="s">
        <v>24</v>
      </c>
      <c r="E23" s="61" t="s">
        <v>25</v>
      </c>
      <c r="F23" s="61" t="s">
        <v>26</v>
      </c>
      <c r="G23" s="61" t="s">
        <v>27</v>
      </c>
      <c r="H23" s="61" t="s">
        <v>28</v>
      </c>
      <c r="I23" s="8"/>
      <c r="J23" s="8"/>
      <c r="K23" s="27"/>
      <c r="L23" s="28"/>
      <c r="M23" s="66"/>
      <c r="N23" s="66"/>
      <c r="O23" s="66"/>
      <c r="P23" s="66"/>
      <c r="Q23" s="66"/>
      <c r="R23" s="66"/>
      <c r="S23" s="66"/>
    </row>
    <row r="24" spans="1:19" x14ac:dyDescent="0.25">
      <c r="A24" s="35" t="e" cm="1">
        <f t="array" ref="A24">LOOKUP(2,1/(H28:H31&lt;&gt;""),H28:H31)</f>
        <v>#N/A</v>
      </c>
      <c r="B24" s="35" t="e" cm="1">
        <f t="array" ref="B24">LOOKUP(2,1/(I28:I31&lt;&gt;""),I28:I31)</f>
        <v>#N/A</v>
      </c>
      <c r="C24" s="35" t="e" cm="1">
        <f t="array" ref="C24">LOOKUP(2,1/(J28:J31&lt;&gt;""),J28:J31)</f>
        <v>#N/A</v>
      </c>
      <c r="D24" s="35" t="e" cm="1">
        <f t="array" ref="D24">LOOKUP(2,1/(K28:K31&lt;&gt;""),K28:K31)</f>
        <v>#N/A</v>
      </c>
      <c r="E24" s="36">
        <v>1</v>
      </c>
      <c r="F24" s="36">
        <v>1</v>
      </c>
      <c r="G24" s="37">
        <v>0</v>
      </c>
      <c r="H24" s="37">
        <v>0</v>
      </c>
      <c r="I24" s="8"/>
      <c r="J24" s="8"/>
      <c r="K24" s="27"/>
      <c r="L24" s="28"/>
      <c r="M24" s="66"/>
      <c r="N24" s="66"/>
      <c r="O24" s="66"/>
      <c r="P24" s="66"/>
      <c r="Q24" s="66"/>
      <c r="R24" s="66"/>
      <c r="S24" s="66"/>
    </row>
    <row r="25" spans="1:19" x14ac:dyDescent="0.25">
      <c r="G25" s="8"/>
      <c r="H25" s="8"/>
      <c r="I25" s="8"/>
      <c r="J25" s="8"/>
      <c r="K25" s="8"/>
      <c r="L25" s="8"/>
      <c r="M25" s="66"/>
      <c r="N25" s="67"/>
      <c r="O25" s="68"/>
      <c r="P25" s="66"/>
      <c r="Q25" s="66"/>
      <c r="R25" s="66"/>
      <c r="S25" s="66"/>
    </row>
    <row r="26" spans="1:19" x14ac:dyDescent="0.25">
      <c r="A26" s="83" t="s">
        <v>29</v>
      </c>
      <c r="B26" s="84"/>
      <c r="C26" s="84"/>
      <c r="D26" s="84"/>
      <c r="E26" s="84"/>
      <c r="F26" s="84"/>
      <c r="G26" s="84"/>
      <c r="H26" s="84"/>
      <c r="I26" s="84"/>
      <c r="J26" s="84"/>
      <c r="K26" s="85"/>
      <c r="L26" s="8"/>
      <c r="M26" s="66"/>
      <c r="N26" s="69" t="str">
        <f>I27</f>
        <v>Performance Index (%)</v>
      </c>
      <c r="O26" s="68"/>
      <c r="P26" s="66"/>
      <c r="Q26" s="66"/>
      <c r="R26" s="66"/>
      <c r="S26" s="66"/>
    </row>
    <row r="27" spans="1:19" ht="24.75" x14ac:dyDescent="0.25">
      <c r="A27" s="60" t="s">
        <v>30</v>
      </c>
      <c r="B27" s="60" t="s">
        <v>31</v>
      </c>
      <c r="C27" s="60" t="s">
        <v>32</v>
      </c>
      <c r="D27" s="60" t="s">
        <v>33</v>
      </c>
      <c r="E27" s="60" t="s">
        <v>34</v>
      </c>
      <c r="F27" s="60" t="s">
        <v>35</v>
      </c>
      <c r="G27" s="60" t="s">
        <v>36</v>
      </c>
      <c r="H27" s="60" t="s">
        <v>21</v>
      </c>
      <c r="I27" s="60" t="s">
        <v>22</v>
      </c>
      <c r="J27" s="60" t="s">
        <v>23</v>
      </c>
      <c r="K27" s="60" t="s">
        <v>24</v>
      </c>
      <c r="L27" s="8"/>
      <c r="M27" s="70"/>
      <c r="N27" s="70" t="s">
        <v>0</v>
      </c>
      <c r="O27" s="70" t="s">
        <v>37</v>
      </c>
      <c r="P27" s="66"/>
      <c r="Q27" s="66"/>
      <c r="R27" s="66"/>
      <c r="S27" s="66"/>
    </row>
    <row r="28" spans="1:19" x14ac:dyDescent="0.25">
      <c r="A28" s="29" t="s">
        <v>15</v>
      </c>
      <c r="B28" s="38"/>
      <c r="C28" s="39"/>
      <c r="D28" s="39" t="str">
        <f>IF(B28="","",J28*C28)</f>
        <v/>
      </c>
      <c r="E28" s="39"/>
      <c r="F28" s="39" t="str">
        <f>IF(E28="", "", 313569)</f>
        <v/>
      </c>
      <c r="G28" s="39" t="str">
        <f>IF(B28="","",D29-B28)</f>
        <v/>
      </c>
      <c r="H28" s="40" t="str">
        <f>IF(B28="","",B28/C28)</f>
        <v/>
      </c>
      <c r="I28" s="40" t="str">
        <f>IF(B28="","",B28/D29)</f>
        <v/>
      </c>
      <c r="J28" s="40" t="str">
        <f>IF(B28="","",E28/F28)</f>
        <v/>
      </c>
      <c r="K28" s="40"/>
      <c r="L28" s="8"/>
      <c r="M28" s="70" t="str">
        <f>A28</f>
        <v>Q1</v>
      </c>
      <c r="N28" s="71" t="e">
        <f>IF(I28="",NA(),I28)</f>
        <v>#N/A</v>
      </c>
      <c r="O28" s="72" t="e">
        <f>IF(OR(I28="",I28=0),NA(),AVERAGE(I$28:I28))</f>
        <v>#N/A</v>
      </c>
      <c r="P28" s="66">
        <v>1</v>
      </c>
      <c r="Q28" s="66">
        <v>3</v>
      </c>
      <c r="R28" s="66"/>
      <c r="S28" s="66"/>
    </row>
    <row r="29" spans="1:19" x14ac:dyDescent="0.25">
      <c r="A29" s="29" t="s">
        <v>16</v>
      </c>
      <c r="B29" s="39"/>
      <c r="C29" s="39"/>
      <c r="D29" s="39" t="str">
        <f t="shared" ref="D29:D31" si="0">IF(B29="","",J29*C29)</f>
        <v/>
      </c>
      <c r="E29" s="39"/>
      <c r="F29" s="39" t="str">
        <f>IF(E29="", "", 551342)</f>
        <v/>
      </c>
      <c r="G29" s="39" t="str">
        <f>IF(B29="","",#REF!-B29)</f>
        <v/>
      </c>
      <c r="H29" s="40" t="str">
        <f t="shared" ref="H29:H31" si="1">IF(B29="","",B29/C29)</f>
        <v/>
      </c>
      <c r="I29" s="40" t="str">
        <f>IF(B29="","",B29/#REF!)</f>
        <v/>
      </c>
      <c r="J29" s="40" t="str">
        <f t="shared" ref="J29:J31" si="2">IF(B29="","",E29/F29)</f>
        <v/>
      </c>
      <c r="K29" s="40"/>
      <c r="L29" s="8"/>
      <c r="M29" s="70" t="str">
        <f t="shared" ref="M29:M31" si="3">A29</f>
        <v>Q2</v>
      </c>
      <c r="N29" s="71" t="e">
        <f t="shared" ref="N29:N31" si="4">IF(I29="",NA(),I29)</f>
        <v>#N/A</v>
      </c>
      <c r="O29" s="72" t="e">
        <f>IF(OR(I29="",I29=0),NA(),AVERAGE(I$28:I29))</f>
        <v>#N/A</v>
      </c>
      <c r="P29" s="66">
        <v>4</v>
      </c>
      <c r="Q29" s="66">
        <v>6</v>
      </c>
      <c r="R29" s="66"/>
      <c r="S29" s="66"/>
    </row>
    <row r="30" spans="1:19" x14ac:dyDescent="0.25">
      <c r="A30" s="29" t="s">
        <v>17</v>
      </c>
      <c r="B30" s="39"/>
      <c r="C30" s="39"/>
      <c r="D30" s="39" t="str">
        <f t="shared" si="0"/>
        <v/>
      </c>
      <c r="E30" s="39"/>
      <c r="F30" s="39" t="str">
        <f>IF(E30="", "", 491920)</f>
        <v/>
      </c>
      <c r="G30" s="39" t="str">
        <f t="shared" ref="G30:G31" si="5">IF(B30="","",D30-B30)</f>
        <v/>
      </c>
      <c r="H30" s="40" t="str">
        <f t="shared" si="1"/>
        <v/>
      </c>
      <c r="I30" s="40" t="str">
        <f t="shared" ref="I30:I31" si="6">IF(B30="","",B30/D30)</f>
        <v/>
      </c>
      <c r="J30" s="40" t="str">
        <f t="shared" si="2"/>
        <v/>
      </c>
      <c r="K30" s="41"/>
      <c r="L30" s="8"/>
      <c r="M30" s="70" t="str">
        <f t="shared" si="3"/>
        <v>Q3</v>
      </c>
      <c r="N30" s="71" t="e">
        <f t="shared" si="4"/>
        <v>#N/A</v>
      </c>
      <c r="O30" s="72" t="e">
        <f>IF(OR(I30="",I30=0),NA(),AVERAGE(I$28:I30))</f>
        <v>#N/A</v>
      </c>
      <c r="P30" s="66">
        <v>7</v>
      </c>
      <c r="Q30" s="66">
        <v>9</v>
      </c>
      <c r="R30" s="66"/>
      <c r="S30" s="66"/>
    </row>
    <row r="31" spans="1:19" x14ac:dyDescent="0.25">
      <c r="A31" s="29" t="s">
        <v>18</v>
      </c>
      <c r="B31" s="39"/>
      <c r="C31" s="39"/>
      <c r="D31" s="39" t="str">
        <f t="shared" si="0"/>
        <v/>
      </c>
      <c r="E31" s="39"/>
      <c r="F31" s="39" t="str">
        <f>IF(E31="", "", 274780)</f>
        <v/>
      </c>
      <c r="G31" s="39" t="str">
        <f t="shared" si="5"/>
        <v/>
      </c>
      <c r="H31" s="40" t="str">
        <f t="shared" si="1"/>
        <v/>
      </c>
      <c r="I31" s="40" t="str">
        <f t="shared" si="6"/>
        <v/>
      </c>
      <c r="J31" s="40" t="str">
        <f t="shared" si="2"/>
        <v/>
      </c>
      <c r="K31" s="41"/>
      <c r="L31" s="8"/>
      <c r="M31" s="70" t="str">
        <f t="shared" si="3"/>
        <v>Q4</v>
      </c>
      <c r="N31" s="71" t="e">
        <f t="shared" si="4"/>
        <v>#N/A</v>
      </c>
      <c r="O31" s="72" t="e">
        <f>IF(OR(I31="",I31=0),NA(),AVERAGE(I$28:I31))</f>
        <v>#N/A</v>
      </c>
      <c r="P31" s="66">
        <v>10</v>
      </c>
      <c r="Q31" s="66">
        <v>12</v>
      </c>
      <c r="R31" s="66"/>
      <c r="S31" s="66"/>
    </row>
    <row r="32" spans="1:19" x14ac:dyDescent="0.25">
      <c r="A32" s="63" t="s">
        <v>37</v>
      </c>
      <c r="B32" s="64">
        <f>SUM(B28:B31)</f>
        <v>0</v>
      </c>
      <c r="C32" s="64">
        <f t="shared" ref="C32:G32" si="7">SUM(C28:C31)</f>
        <v>0</v>
      </c>
      <c r="D32" s="64">
        <f>SUM(D29:D31)</f>
        <v>0</v>
      </c>
      <c r="E32" s="64">
        <f t="shared" si="7"/>
        <v>0</v>
      </c>
      <c r="F32" s="64">
        <f t="shared" si="7"/>
        <v>0</v>
      </c>
      <c r="G32" s="64">
        <f t="shared" si="7"/>
        <v>0</v>
      </c>
      <c r="H32" s="65" t="str">
        <f>IFERROR(AVERAGE(H28:H31),"")</f>
        <v/>
      </c>
      <c r="I32" s="65" t="str">
        <f t="shared" ref="I32:K32" si="8">IFERROR(AVERAGE(I28:I31),"")</f>
        <v/>
      </c>
      <c r="J32" s="65" t="str">
        <f t="shared" si="8"/>
        <v/>
      </c>
      <c r="K32" s="65" t="str">
        <f t="shared" si="8"/>
        <v/>
      </c>
      <c r="L32" s="8"/>
      <c r="M32" s="70"/>
      <c r="N32" s="70"/>
      <c r="O32" s="70"/>
      <c r="P32" s="66"/>
      <c r="Q32" s="66"/>
      <c r="R32" s="66"/>
      <c r="S32" s="66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8"/>
      <c r="M33" s="66"/>
      <c r="N33" s="66"/>
      <c r="O33" s="66"/>
      <c r="P33" s="66"/>
      <c r="Q33" s="66"/>
      <c r="R33" s="66"/>
      <c r="S33" s="66"/>
    </row>
    <row r="34" spans="1:19" x14ac:dyDescent="0.25">
      <c r="A34" s="86" t="s">
        <v>38</v>
      </c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"/>
      <c r="M34" s="66"/>
      <c r="N34" s="66"/>
      <c r="O34" s="66"/>
      <c r="P34" s="66"/>
      <c r="Q34" s="66"/>
      <c r="R34" s="66"/>
      <c r="S34" s="66"/>
    </row>
    <row r="35" spans="1:19" x14ac:dyDescent="0.25">
      <c r="A35" s="60" t="s">
        <v>39</v>
      </c>
      <c r="B35" s="60" t="s">
        <v>40</v>
      </c>
      <c r="C35" s="60" t="s">
        <v>41</v>
      </c>
      <c r="D35" s="60" t="s">
        <v>42</v>
      </c>
      <c r="E35" s="60" t="s">
        <v>43</v>
      </c>
      <c r="F35" s="60" t="s">
        <v>44</v>
      </c>
      <c r="G35" s="73" t="s">
        <v>45</v>
      </c>
      <c r="H35" s="73"/>
      <c r="I35" s="73"/>
      <c r="J35" s="73"/>
      <c r="K35" s="73"/>
      <c r="L35" s="8"/>
      <c r="M35" s="66"/>
      <c r="N35" s="66"/>
      <c r="O35" s="66"/>
      <c r="P35" s="66"/>
      <c r="Q35" s="66"/>
      <c r="R35" s="66"/>
      <c r="S35" s="66"/>
    </row>
    <row r="36" spans="1:19" x14ac:dyDescent="0.25">
      <c r="A36" s="42"/>
      <c r="B36" s="43"/>
      <c r="C36" s="44"/>
      <c r="D36" s="44"/>
      <c r="E36" s="45"/>
      <c r="F36" s="45"/>
      <c r="G36" s="87" t="s">
        <v>46</v>
      </c>
      <c r="H36" s="87"/>
      <c r="I36" s="87"/>
      <c r="J36" s="87"/>
      <c r="K36" s="87"/>
      <c r="L36" s="8"/>
      <c r="M36" s="66"/>
      <c r="N36" s="66"/>
      <c r="O36" s="66"/>
      <c r="P36" s="66"/>
      <c r="Q36" s="66"/>
      <c r="R36" s="66"/>
      <c r="S36" s="66"/>
    </row>
    <row r="37" spans="1:19" x14ac:dyDescent="0.25">
      <c r="A37" s="46"/>
      <c r="B37" s="46"/>
      <c r="C37" s="47"/>
      <c r="D37" s="48"/>
      <c r="E37" s="49"/>
      <c r="F37" s="50"/>
      <c r="G37" s="50"/>
      <c r="H37" s="50"/>
      <c r="I37" s="50"/>
      <c r="J37" s="50"/>
      <c r="K37" s="50"/>
      <c r="L37" s="8"/>
      <c r="M37" s="66"/>
      <c r="N37" s="66"/>
      <c r="O37" s="66"/>
      <c r="P37" s="66"/>
      <c r="Q37" s="66"/>
      <c r="R37" s="66"/>
      <c r="S37" s="66"/>
    </row>
    <row r="38" spans="1:19" x14ac:dyDescent="0.25">
      <c r="A38" s="86" t="s">
        <v>47</v>
      </c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"/>
      <c r="M38" s="66"/>
      <c r="N38" s="66"/>
      <c r="O38" s="66"/>
      <c r="P38" s="66"/>
      <c r="Q38" s="66"/>
      <c r="R38" s="66"/>
      <c r="S38" s="66"/>
    </row>
    <row r="39" spans="1:19" x14ac:dyDescent="0.25">
      <c r="A39" s="60" t="s">
        <v>39</v>
      </c>
      <c r="B39" s="60" t="s">
        <v>40</v>
      </c>
      <c r="C39" s="60" t="s">
        <v>48</v>
      </c>
      <c r="D39" s="60" t="s">
        <v>49</v>
      </c>
      <c r="E39" s="73" t="s">
        <v>44</v>
      </c>
      <c r="F39" s="73"/>
      <c r="G39" s="73"/>
      <c r="H39" s="73"/>
      <c r="I39" s="73"/>
      <c r="J39" s="73"/>
      <c r="K39" s="73"/>
      <c r="L39" s="8"/>
      <c r="M39" s="66"/>
      <c r="N39" s="66"/>
      <c r="O39" s="66"/>
      <c r="P39" s="66"/>
      <c r="Q39" s="66"/>
      <c r="R39" s="66"/>
      <c r="S39" s="66"/>
    </row>
    <row r="40" spans="1:19" x14ac:dyDescent="0.25">
      <c r="A40" s="42"/>
      <c r="B40" s="43"/>
      <c r="C40" s="44"/>
      <c r="D40" s="44"/>
      <c r="E40" s="74" t="s">
        <v>46</v>
      </c>
      <c r="F40" s="75"/>
      <c r="G40" s="75"/>
      <c r="H40" s="75"/>
      <c r="I40" s="75"/>
      <c r="J40" s="75"/>
      <c r="K40" s="76"/>
      <c r="L40" s="8"/>
      <c r="M40" s="66"/>
      <c r="N40" s="66"/>
      <c r="O40" s="66"/>
      <c r="P40" s="66"/>
      <c r="Q40" s="66"/>
      <c r="R40" s="66"/>
      <c r="S40" s="66"/>
    </row>
    <row r="41" spans="1:19" x14ac:dyDescent="0.25">
      <c r="A41" s="46"/>
      <c r="B41" s="46"/>
      <c r="C41" s="47"/>
      <c r="D41" s="48"/>
      <c r="E41" s="49"/>
      <c r="F41" s="50"/>
      <c r="G41" s="50"/>
      <c r="H41" s="50"/>
      <c r="I41" s="50"/>
      <c r="J41" s="50"/>
      <c r="K41" s="50"/>
      <c r="L41" s="8"/>
      <c r="M41" s="66"/>
      <c r="N41" s="66"/>
      <c r="O41" s="66"/>
      <c r="P41" s="66"/>
      <c r="Q41" s="66"/>
      <c r="R41" s="66"/>
      <c r="S41" s="66"/>
    </row>
    <row r="42" spans="1:19" x14ac:dyDescent="0.25">
      <c r="A42" s="58" t="s">
        <v>50</v>
      </c>
      <c r="B42" s="57"/>
      <c r="C42" s="57"/>
      <c r="D42" s="57"/>
      <c r="E42" s="57"/>
      <c r="F42" s="57"/>
      <c r="G42" s="57"/>
      <c r="H42" s="57"/>
      <c r="I42" s="57"/>
      <c r="J42" s="57"/>
      <c r="K42" s="59"/>
      <c r="L42" s="8"/>
      <c r="M42" s="66"/>
      <c r="N42" s="66"/>
      <c r="O42" s="66"/>
      <c r="P42" s="66"/>
      <c r="Q42" s="66"/>
      <c r="R42" s="66"/>
      <c r="S42" s="66"/>
    </row>
    <row r="43" spans="1:19" x14ac:dyDescent="0.25">
      <c r="A43" s="62" t="s">
        <v>51</v>
      </c>
      <c r="B43" s="62" t="s">
        <v>40</v>
      </c>
      <c r="C43" s="62" t="s">
        <v>52</v>
      </c>
      <c r="D43" s="62" t="s">
        <v>53</v>
      </c>
      <c r="E43" s="77" t="s">
        <v>54</v>
      </c>
      <c r="F43" s="78"/>
      <c r="G43" s="78"/>
      <c r="H43" s="78"/>
      <c r="I43" s="78"/>
      <c r="J43" s="78"/>
      <c r="K43" s="79"/>
      <c r="L43" s="8"/>
      <c r="M43" s="66"/>
      <c r="N43" s="66"/>
      <c r="O43" s="66"/>
      <c r="P43" s="66"/>
      <c r="Q43" s="66"/>
      <c r="R43" s="66"/>
      <c r="S43" s="66"/>
    </row>
    <row r="44" spans="1:19" x14ac:dyDescent="0.25">
      <c r="A44" s="51"/>
      <c r="B44" s="42"/>
      <c r="C44" s="44"/>
      <c r="D44" s="52"/>
      <c r="E44" s="74" t="s">
        <v>55</v>
      </c>
      <c r="F44" s="75"/>
      <c r="G44" s="75"/>
      <c r="H44" s="75"/>
      <c r="I44" s="75"/>
      <c r="J44" s="75"/>
      <c r="K44" s="76"/>
      <c r="L44" s="8"/>
      <c r="M44" s="66"/>
      <c r="N44" s="66"/>
      <c r="O44" s="66"/>
      <c r="P44" s="66"/>
      <c r="Q44" s="66"/>
      <c r="R44" s="66"/>
      <c r="S44" s="66"/>
    </row>
    <row r="45" spans="1:19" x14ac:dyDescent="0.25">
      <c r="A45" s="53" t="s">
        <v>56</v>
      </c>
      <c r="B45" s="54"/>
      <c r="C45" s="54"/>
      <c r="D45" s="54"/>
      <c r="E45" s="10"/>
      <c r="F45" s="10"/>
      <c r="G45" s="10"/>
      <c r="H45" s="10"/>
      <c r="I45" s="10"/>
      <c r="J45" s="10"/>
      <c r="K45" s="10"/>
      <c r="L45" s="8"/>
      <c r="M45" s="66"/>
      <c r="N45" s="66"/>
      <c r="O45" s="66"/>
      <c r="P45" s="66"/>
      <c r="Q45" s="66"/>
      <c r="R45" s="66"/>
      <c r="S45" s="66"/>
    </row>
    <row r="46" spans="1:19" x14ac:dyDescent="0.25">
      <c r="A46" s="54"/>
      <c r="B46" s="54"/>
      <c r="C46" s="54"/>
      <c r="D46" s="54"/>
      <c r="E46" s="10"/>
      <c r="F46" s="10"/>
      <c r="G46" s="10"/>
      <c r="H46" s="10"/>
      <c r="I46" s="10"/>
      <c r="J46" s="10"/>
      <c r="K46" s="10"/>
      <c r="L46" s="8"/>
      <c r="M46" s="66"/>
      <c r="N46" s="66"/>
      <c r="O46" s="66"/>
      <c r="P46" s="66"/>
      <c r="Q46" s="66"/>
      <c r="R46" s="66"/>
      <c r="S46" s="66"/>
    </row>
    <row r="47" spans="1:19" x14ac:dyDescent="0.25">
      <c r="A47" s="54"/>
      <c r="B47" s="54"/>
      <c r="C47" s="54"/>
      <c r="D47" s="54"/>
      <c r="E47" s="10"/>
      <c r="F47" s="10"/>
      <c r="G47" s="10"/>
      <c r="H47" s="10"/>
      <c r="I47" s="10"/>
      <c r="J47" s="10"/>
      <c r="K47" s="10"/>
      <c r="L47" s="8"/>
      <c r="M47" s="66"/>
      <c r="N47" s="66"/>
      <c r="O47" s="66"/>
      <c r="P47" s="66"/>
      <c r="Q47" s="66"/>
      <c r="R47" s="66"/>
      <c r="S47" s="66"/>
    </row>
    <row r="48" spans="1:19" x14ac:dyDescent="0.25">
      <c r="A48" s="54"/>
      <c r="B48" s="54"/>
      <c r="C48" s="54"/>
      <c r="D48" s="54"/>
      <c r="E48" s="10"/>
      <c r="F48" s="10"/>
      <c r="G48" s="10"/>
      <c r="H48" s="10"/>
      <c r="I48" s="10"/>
      <c r="J48" s="10"/>
      <c r="K48" s="10"/>
      <c r="L48" s="8"/>
      <c r="M48" s="66"/>
      <c r="N48" s="66"/>
      <c r="O48" s="66"/>
      <c r="P48" s="66"/>
      <c r="Q48" s="66"/>
      <c r="R48" s="66"/>
      <c r="S48" s="66"/>
    </row>
    <row r="49" spans="1:19" x14ac:dyDescent="0.25">
      <c r="A49" s="54"/>
      <c r="B49" s="54"/>
      <c r="C49" s="54"/>
      <c r="D49" s="54"/>
      <c r="E49" s="10"/>
      <c r="F49" s="10"/>
      <c r="G49" s="10"/>
      <c r="H49" s="10"/>
      <c r="I49" s="10"/>
      <c r="J49" s="10"/>
      <c r="K49" s="10"/>
      <c r="L49" s="8"/>
      <c r="M49" s="66"/>
      <c r="N49" s="66"/>
      <c r="O49" s="66"/>
      <c r="P49" s="66"/>
      <c r="Q49" s="66"/>
      <c r="R49" s="66"/>
      <c r="S49" s="66"/>
    </row>
    <row r="50" spans="1:19" x14ac:dyDescent="0.25">
      <c r="A50" s="54"/>
      <c r="B50" s="54"/>
      <c r="C50" s="54"/>
      <c r="D50" s="54"/>
      <c r="E50" s="10"/>
      <c r="F50" s="10"/>
      <c r="G50" s="10"/>
      <c r="H50" s="10"/>
      <c r="I50" s="10"/>
      <c r="J50" s="10"/>
      <c r="K50" s="10"/>
      <c r="L50" s="8"/>
      <c r="M50" s="66"/>
      <c r="N50" s="66"/>
      <c r="O50" s="66"/>
      <c r="P50" s="66"/>
      <c r="Q50" s="66"/>
      <c r="R50" s="66"/>
      <c r="S50" s="66"/>
    </row>
    <row r="51" spans="1:19" x14ac:dyDescent="0.25">
      <c r="A51" s="54"/>
      <c r="B51" s="54"/>
      <c r="C51" s="54"/>
      <c r="D51" s="54"/>
      <c r="E51" s="10"/>
      <c r="F51" s="10"/>
      <c r="G51" s="10"/>
      <c r="H51" s="10"/>
      <c r="I51" s="10"/>
      <c r="J51" s="10"/>
      <c r="K51" s="10"/>
      <c r="L51" s="8"/>
      <c r="M51" s="66"/>
      <c r="N51" s="66"/>
      <c r="O51" s="66"/>
      <c r="P51" s="66"/>
      <c r="Q51" s="66"/>
      <c r="R51" s="66"/>
      <c r="S51" s="66"/>
    </row>
    <row r="52" spans="1:19" x14ac:dyDescent="0.25">
      <c r="A52" s="54"/>
      <c r="B52" s="54"/>
      <c r="C52" s="54"/>
      <c r="D52" s="54"/>
      <c r="E52" s="10"/>
      <c r="F52" s="10"/>
      <c r="G52" s="10"/>
      <c r="H52" s="10"/>
      <c r="I52" s="10"/>
      <c r="J52" s="10"/>
      <c r="K52" s="10"/>
      <c r="L52" s="8"/>
      <c r="M52" s="66"/>
      <c r="N52" s="66"/>
      <c r="O52" s="66"/>
      <c r="P52" s="66"/>
      <c r="Q52" s="66"/>
      <c r="R52" s="66"/>
      <c r="S52" s="66"/>
    </row>
    <row r="53" spans="1:19" x14ac:dyDescent="0.25">
      <c r="A53" s="54"/>
      <c r="B53" s="54"/>
      <c r="C53" s="54"/>
      <c r="D53" s="54"/>
      <c r="E53" s="10"/>
      <c r="F53" s="10"/>
      <c r="G53" s="10"/>
      <c r="H53" s="10"/>
      <c r="I53" s="10"/>
      <c r="J53" s="10"/>
      <c r="K53" s="10"/>
      <c r="L53" s="8"/>
      <c r="M53" s="66"/>
      <c r="N53" s="66"/>
      <c r="O53" s="66"/>
      <c r="P53" s="66"/>
      <c r="Q53" s="66"/>
      <c r="R53" s="66"/>
      <c r="S53" s="66"/>
    </row>
    <row r="54" spans="1:19" x14ac:dyDescent="0.25">
      <c r="A54" s="54"/>
      <c r="B54" s="54"/>
      <c r="C54" s="54"/>
      <c r="D54" s="54"/>
      <c r="E54" s="10"/>
      <c r="F54" s="10"/>
      <c r="G54" s="10"/>
      <c r="H54" s="10"/>
      <c r="I54" s="10"/>
      <c r="J54" s="10"/>
      <c r="K54" s="10"/>
      <c r="L54" s="8"/>
      <c r="M54" s="66"/>
      <c r="N54" s="66"/>
      <c r="O54" s="66"/>
      <c r="P54" s="66"/>
      <c r="Q54" s="66"/>
      <c r="R54" s="66"/>
      <c r="S54" s="66"/>
    </row>
    <row r="55" spans="1:19" x14ac:dyDescent="0.25">
      <c r="A55" s="55"/>
      <c r="B55" s="55"/>
      <c r="C55" s="55"/>
      <c r="D55" s="55"/>
      <c r="E55" s="56"/>
      <c r="F55" s="56"/>
      <c r="G55" s="56"/>
      <c r="H55" s="56"/>
      <c r="I55" s="56"/>
      <c r="J55" s="56"/>
      <c r="K55" s="56"/>
      <c r="L55" s="8"/>
      <c r="M55" s="66"/>
      <c r="N55" s="66"/>
      <c r="O55" s="66"/>
      <c r="P55" s="66"/>
      <c r="Q55" s="66"/>
      <c r="R55" s="66"/>
      <c r="S55" s="66"/>
    </row>
    <row r="56" spans="1:19" x14ac:dyDescent="0.25">
      <c r="A56" s="55"/>
      <c r="B56" s="55"/>
      <c r="C56" s="55"/>
      <c r="D56" s="55"/>
      <c r="E56" s="56"/>
      <c r="F56" s="56"/>
      <c r="G56" s="56"/>
      <c r="H56" s="56"/>
      <c r="I56" s="56"/>
      <c r="J56" s="56"/>
      <c r="K56" s="56"/>
      <c r="L56" s="8"/>
      <c r="M56" s="66"/>
      <c r="N56" s="66"/>
      <c r="O56" s="66"/>
      <c r="P56" s="66"/>
      <c r="Q56" s="66"/>
      <c r="R56" s="66"/>
      <c r="S56" s="66"/>
    </row>
    <row r="57" spans="1:19" x14ac:dyDescent="0.25">
      <c r="A57" s="55"/>
      <c r="B57" s="55"/>
      <c r="C57" s="55"/>
      <c r="D57" s="55"/>
      <c r="E57" s="56"/>
      <c r="F57" s="56"/>
      <c r="G57" s="56"/>
      <c r="H57" s="56"/>
      <c r="I57" s="56"/>
      <c r="J57" s="56"/>
      <c r="K57" s="56"/>
      <c r="L57" s="8"/>
      <c r="M57" s="66"/>
      <c r="N57" s="66"/>
      <c r="O57" s="66"/>
      <c r="P57" s="66"/>
      <c r="Q57" s="66"/>
      <c r="R57" s="66"/>
      <c r="S57" s="66"/>
    </row>
    <row r="58" spans="1:19" x14ac:dyDescent="0.25">
      <c r="A58" s="55"/>
      <c r="B58" s="55"/>
      <c r="C58" s="55"/>
      <c r="D58" s="55"/>
      <c r="E58" s="56"/>
      <c r="F58" s="56"/>
      <c r="G58" s="56"/>
      <c r="H58" s="56"/>
      <c r="I58" s="56"/>
      <c r="J58" s="56"/>
      <c r="K58" s="56"/>
      <c r="L58" s="8"/>
      <c r="M58" s="66"/>
      <c r="N58" s="66"/>
      <c r="O58" s="66"/>
      <c r="P58" s="66"/>
      <c r="Q58" s="66"/>
      <c r="R58" s="66"/>
      <c r="S58" s="66"/>
    </row>
    <row r="59" spans="1:19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66"/>
      <c r="N59" s="66"/>
      <c r="O59" s="66"/>
      <c r="P59" s="66"/>
      <c r="Q59" s="66"/>
      <c r="R59" s="66"/>
      <c r="S59" s="66"/>
    </row>
    <row r="60" spans="1:19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66"/>
      <c r="N60" s="66"/>
      <c r="O60" s="66"/>
      <c r="P60" s="66"/>
      <c r="Q60" s="66"/>
      <c r="R60" s="66"/>
      <c r="S60" s="66"/>
    </row>
    <row r="61" spans="1:19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66"/>
      <c r="N61" s="66"/>
      <c r="O61" s="66"/>
      <c r="P61" s="66"/>
      <c r="Q61" s="66"/>
      <c r="R61" s="66"/>
      <c r="S61" s="66"/>
    </row>
  </sheetData>
  <mergeCells count="16">
    <mergeCell ref="B20:F20"/>
    <mergeCell ref="A5:C5"/>
    <mergeCell ref="I5:K5"/>
    <mergeCell ref="I6:K6"/>
    <mergeCell ref="I7:K7"/>
    <mergeCell ref="A14:F14"/>
    <mergeCell ref="E39:K39"/>
    <mergeCell ref="E40:K40"/>
    <mergeCell ref="E43:K43"/>
    <mergeCell ref="E44:K44"/>
    <mergeCell ref="A22:H22"/>
    <mergeCell ref="A26:K26"/>
    <mergeCell ref="A34:K34"/>
    <mergeCell ref="G35:K35"/>
    <mergeCell ref="G36:K36"/>
    <mergeCell ref="A38:K38"/>
  </mergeCells>
  <conditionalFormatting sqref="B16:F19">
    <cfRule type="dataBar" priority="3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{20320FFA-C654-4C07-861F-DEC699903D36}</x14:id>
        </ext>
      </extLst>
    </cfRule>
    <cfRule type="dataBar" priority="4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{1A6FE4DC-A229-4946-AE5A-85C98BBCDF8B}</x14:id>
        </ext>
      </extLst>
    </cfRule>
  </conditionalFormatting>
  <conditionalFormatting sqref="H28:K28 H29:J31">
    <cfRule type="dataBar" priority="5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{CB867B2C-B3B2-4E7C-86E1-1C216F466E09}</x14:id>
        </ext>
      </extLst>
    </cfRule>
    <cfRule type="dataBar" priority="6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{3D309274-DADE-46C4-9C63-660A3952E51F}</x14:id>
        </ext>
      </extLst>
    </cfRule>
  </conditionalFormatting>
  <conditionalFormatting sqref="K29">
    <cfRule type="dataBar" priority="1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{C315182B-5ABE-4DC5-BAE6-C72123B4FBC9}</x14:id>
        </ext>
      </extLst>
    </cfRule>
    <cfRule type="dataBar" priority="2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{33BC825E-0E9D-44DA-B056-874C5752A41B}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0320FFA-C654-4C07-861F-DEC699903D36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1A6FE4DC-A229-4946-AE5A-85C98BBCDF8B}">
            <x14:dataBar minLength="0" maxLength="100" gradient="0" negativeBarColorSameAsPositive="1" axisPosition="none">
              <x14:cfvo type="min"/>
              <x14:cfvo type="max"/>
            </x14:dataBar>
          </x14:cfRule>
          <xm:sqref>B16:F19</xm:sqref>
        </x14:conditionalFormatting>
        <x14:conditionalFormatting xmlns:xm="http://schemas.microsoft.com/office/excel/2006/main">
          <x14:cfRule type="dataBar" id="{CB867B2C-B3B2-4E7C-86E1-1C216F466E09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3D309274-DADE-46C4-9C63-660A3952E51F}">
            <x14:dataBar minLength="0" maxLength="100" gradient="0" negativeBarColorSameAsPositive="1" axisPosition="none">
              <x14:cfvo type="min"/>
              <x14:cfvo type="max"/>
            </x14:dataBar>
          </x14:cfRule>
          <xm:sqref>H28:K28 H29:J31</xm:sqref>
        </x14:conditionalFormatting>
        <x14:conditionalFormatting xmlns:xm="http://schemas.microsoft.com/office/excel/2006/main">
          <x14:cfRule type="dataBar" id="{C315182B-5ABE-4DC5-BAE6-C72123B4FBC9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33BC825E-0E9D-44DA-B056-874C5752A41B}">
            <x14:dataBar minLength="0" maxLength="100" gradient="0" negativeBarColorSameAsPositive="1" axisPosition="none">
              <x14:cfvo type="min"/>
              <x14:cfvo type="max"/>
            </x14:dataBar>
          </x14:cfRule>
          <xm:sqref>K29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38658-6581-4ACF-B8B5-8699D0C7FA29}">
  <sheetPr codeName="Sheet6"/>
  <dimension ref="A1:AA61"/>
  <sheetViews>
    <sheetView topLeftCell="A5" zoomScale="130" zoomScaleNormal="130" workbookViewId="0">
      <selection activeCell="G20" sqref="G20"/>
    </sheetView>
  </sheetViews>
  <sheetFormatPr defaultRowHeight="15" x14ac:dyDescent="0.25"/>
  <cols>
    <col min="1" max="1" width="16.7109375" style="5" customWidth="1"/>
    <col min="2" max="2" width="19.5703125" style="5" customWidth="1"/>
    <col min="3" max="3" width="15.140625" style="5" customWidth="1"/>
    <col min="4" max="4" width="13.28515625" style="5" customWidth="1"/>
    <col min="5" max="5" width="12.5703125" style="5" customWidth="1"/>
    <col min="6" max="6" width="21.42578125" style="5" customWidth="1"/>
    <col min="7" max="7" width="38.42578125" style="5" customWidth="1"/>
    <col min="8" max="12" width="9.140625" style="5"/>
    <col min="28" max="16384" width="9.140625" style="5"/>
  </cols>
  <sheetData>
    <row r="1" spans="1:19" ht="15.75" x14ac:dyDescent="0.25">
      <c r="A1" s="3"/>
      <c r="B1" s="4"/>
      <c r="C1" s="4"/>
      <c r="D1" s="3"/>
      <c r="E1" s="2"/>
      <c r="F1" s="2" t="s">
        <v>67</v>
      </c>
      <c r="G1" s="4"/>
      <c r="H1" s="4"/>
      <c r="I1" s="4"/>
      <c r="J1" s="4"/>
      <c r="K1" s="4"/>
    </row>
    <row r="2" spans="1:19" ht="15.75" x14ac:dyDescent="0.25">
      <c r="A2" s="4"/>
      <c r="B2" s="4"/>
      <c r="C2" s="4"/>
      <c r="D2" s="3"/>
      <c r="E2" s="6"/>
      <c r="F2" s="2" t="s">
        <v>68</v>
      </c>
      <c r="G2" s="3"/>
      <c r="H2" s="3"/>
      <c r="I2" s="4"/>
      <c r="J2" s="4"/>
      <c r="K2" s="4"/>
    </row>
    <row r="3" spans="1:19" x14ac:dyDescent="0.25">
      <c r="A3" s="8"/>
      <c r="B3" s="8"/>
      <c r="C3" s="9"/>
      <c r="D3" s="10"/>
      <c r="E3" s="11"/>
      <c r="F3" s="7" t="s">
        <v>62</v>
      </c>
      <c r="G3" s="9"/>
      <c r="H3" s="9"/>
      <c r="I3" s="9"/>
      <c r="J3" s="9"/>
      <c r="K3" s="9"/>
    </row>
    <row r="4" spans="1:19" ht="33" customHeight="1" x14ac:dyDescent="0.25">
      <c r="A4" s="8"/>
      <c r="B4" s="8"/>
      <c r="C4" s="8"/>
      <c r="D4" s="10"/>
      <c r="E4" s="12"/>
      <c r="F4" s="12" t="str">
        <f ca="1">IF(COUNTA(B28:B31)=0, "Reporting Period: " &amp; YEAR(TODAY()),
    IF(COUNTA(B28:B31)=1, "Reporting Period: January - March " &amp; YEAR(TODAY()),
    IF(COUNTA(B28:B31)=2, "Reporting Period: April - June " &amp; YEAR(TODAY()),
    IF(COUNTA(B28:B31)=3, "Reporting Period: July - September " &amp; YEAR(TODAY()),
    "Reporting Period: October - December " &amp; YEAR(TODAY())))))</f>
        <v>Reporting Period: 2024</v>
      </c>
      <c r="G4" s="13"/>
      <c r="H4" s="13"/>
      <c r="I4" s="13"/>
      <c r="J4" s="13"/>
      <c r="K4" s="13"/>
    </row>
    <row r="5" spans="1:19" x14ac:dyDescent="0.25">
      <c r="A5" s="80" t="s">
        <v>1</v>
      </c>
      <c r="B5" s="81"/>
      <c r="C5" s="82"/>
      <c r="D5" s="14"/>
      <c r="E5" s="14"/>
      <c r="F5" s="8"/>
      <c r="G5" s="15"/>
      <c r="H5" s="15"/>
      <c r="I5" s="88"/>
      <c r="J5" s="88"/>
      <c r="K5" s="88"/>
    </row>
    <row r="6" spans="1:19" x14ac:dyDescent="0.25">
      <c r="A6" s="16"/>
      <c r="B6" s="17" t="s">
        <v>2</v>
      </c>
      <c r="C6" s="18">
        <v>4.5999999999999996</v>
      </c>
      <c r="D6" s="19"/>
      <c r="E6" s="19"/>
      <c r="F6" s="8"/>
      <c r="G6" s="15"/>
      <c r="H6" s="15"/>
      <c r="I6" s="88"/>
      <c r="J6" s="88"/>
      <c r="K6" s="88"/>
    </row>
    <row r="7" spans="1:19" x14ac:dyDescent="0.25">
      <c r="A7" s="16"/>
      <c r="B7" s="17" t="s">
        <v>3</v>
      </c>
      <c r="C7" s="18">
        <v>3</v>
      </c>
      <c r="D7" s="19"/>
      <c r="E7" s="19"/>
      <c r="F7" s="8"/>
      <c r="G7" s="15"/>
      <c r="H7" s="15"/>
      <c r="I7" s="88"/>
      <c r="J7" s="88"/>
      <c r="K7" s="88"/>
    </row>
    <row r="8" spans="1:19" x14ac:dyDescent="0.25">
      <c r="A8" s="16"/>
      <c r="B8" s="17" t="s">
        <v>4</v>
      </c>
      <c r="C8" s="20">
        <v>26</v>
      </c>
      <c r="D8" s="21"/>
      <c r="E8" s="21"/>
      <c r="F8" s="8"/>
      <c r="G8" s="15"/>
      <c r="H8" s="8"/>
      <c r="I8" s="8"/>
      <c r="J8" s="8"/>
      <c r="K8" s="8"/>
    </row>
    <row r="9" spans="1:19" x14ac:dyDescent="0.25">
      <c r="A9" s="16"/>
      <c r="B9" s="17" t="s">
        <v>5</v>
      </c>
      <c r="C9" s="22">
        <v>10612</v>
      </c>
      <c r="D9" s="21"/>
      <c r="E9" s="21"/>
      <c r="F9" s="8"/>
      <c r="G9" s="15"/>
      <c r="H9" s="8"/>
      <c r="I9" s="8"/>
      <c r="J9" s="8"/>
      <c r="K9" s="8"/>
    </row>
    <row r="10" spans="1:19" x14ac:dyDescent="0.25">
      <c r="A10" s="16"/>
      <c r="B10" s="17" t="s">
        <v>6</v>
      </c>
      <c r="C10" s="20">
        <v>2</v>
      </c>
      <c r="D10" s="21"/>
      <c r="E10" s="21"/>
      <c r="F10" s="8"/>
      <c r="G10" s="15"/>
      <c r="H10" s="8"/>
      <c r="I10" s="8"/>
      <c r="J10" s="8"/>
      <c r="K10" s="8"/>
    </row>
    <row r="11" spans="1:19" x14ac:dyDescent="0.25">
      <c r="A11" s="16"/>
      <c r="B11" s="17" t="s">
        <v>7</v>
      </c>
      <c r="C11" s="20">
        <v>24</v>
      </c>
      <c r="D11" s="21"/>
      <c r="E11" s="21"/>
      <c r="F11" s="8"/>
      <c r="G11" s="15"/>
      <c r="H11" s="8"/>
      <c r="I11" s="8"/>
      <c r="J11" s="8"/>
      <c r="K11" s="8"/>
    </row>
    <row r="12" spans="1:19" x14ac:dyDescent="0.25">
      <c r="A12" s="23"/>
      <c r="B12" s="23"/>
      <c r="C12" s="24"/>
      <c r="D12" s="21"/>
      <c r="E12" s="21"/>
      <c r="F12" s="8"/>
      <c r="G12" s="8"/>
      <c r="H12" s="8"/>
      <c r="I12" s="8"/>
      <c r="J12" s="8"/>
      <c r="K12" s="8"/>
    </row>
    <row r="13" spans="1:19" x14ac:dyDescent="0.25">
      <c r="A13" s="25"/>
      <c r="B13" s="25"/>
      <c r="C13" s="26"/>
      <c r="D13" s="21"/>
      <c r="E13" s="21"/>
      <c r="F13" s="8"/>
      <c r="G13" s="8"/>
      <c r="H13" s="8"/>
      <c r="I13" s="8"/>
      <c r="J13" s="8"/>
      <c r="K13" s="8"/>
    </row>
    <row r="14" spans="1:19" x14ac:dyDescent="0.25">
      <c r="A14" s="89" t="s">
        <v>8</v>
      </c>
      <c r="B14" s="89"/>
      <c r="C14" s="89"/>
      <c r="D14" s="89"/>
      <c r="E14" s="89"/>
      <c r="F14" s="89"/>
      <c r="G14" s="8"/>
      <c r="H14" s="8"/>
      <c r="I14" s="8"/>
      <c r="J14" s="8"/>
      <c r="K14" s="8"/>
      <c r="L14" s="8"/>
      <c r="M14" s="66"/>
      <c r="N14" s="66"/>
      <c r="O14" s="66"/>
      <c r="P14" s="66"/>
      <c r="Q14" s="66"/>
      <c r="R14" s="66"/>
      <c r="S14" s="66"/>
    </row>
    <row r="15" spans="1:19" ht="16.5" x14ac:dyDescent="0.25">
      <c r="A15" s="60" t="s">
        <v>9</v>
      </c>
      <c r="B15" s="60" t="s">
        <v>10</v>
      </c>
      <c r="C15" s="60" t="s">
        <v>11</v>
      </c>
      <c r="D15" s="60" t="s">
        <v>12</v>
      </c>
      <c r="E15" s="60" t="s">
        <v>13</v>
      </c>
      <c r="F15" s="60" t="s">
        <v>14</v>
      </c>
      <c r="G15" s="8"/>
      <c r="H15" s="8"/>
      <c r="I15" s="8"/>
      <c r="J15" s="8"/>
      <c r="K15" s="8"/>
      <c r="L15" s="8"/>
      <c r="M15" s="66"/>
      <c r="N15" s="67"/>
      <c r="O15" s="68"/>
      <c r="P15" s="66"/>
      <c r="Q15" s="66"/>
      <c r="R15" s="66"/>
      <c r="S15" s="66"/>
    </row>
    <row r="16" spans="1:19" x14ac:dyDescent="0.25">
      <c r="A16" s="29" t="s">
        <v>15</v>
      </c>
      <c r="B16" s="30"/>
      <c r="C16" s="30"/>
      <c r="D16" s="30"/>
      <c r="E16" s="30"/>
      <c r="F16" s="30"/>
      <c r="G16" s="8"/>
      <c r="H16" s="8"/>
      <c r="I16" s="8"/>
      <c r="J16" s="8"/>
      <c r="K16" s="8"/>
      <c r="L16" s="8"/>
      <c r="M16" s="66"/>
      <c r="N16" s="67"/>
      <c r="O16" s="68"/>
      <c r="P16" s="66"/>
      <c r="Q16" s="66"/>
      <c r="R16" s="66"/>
      <c r="S16" s="66"/>
    </row>
    <row r="17" spans="1:19" x14ac:dyDescent="0.25">
      <c r="A17" s="29" t="s">
        <v>16</v>
      </c>
      <c r="B17" s="30"/>
      <c r="C17" s="30"/>
      <c r="D17" s="30"/>
      <c r="E17" s="30"/>
      <c r="F17" s="30"/>
      <c r="G17" s="8"/>
      <c r="H17" s="8"/>
      <c r="I17" s="8"/>
      <c r="J17" s="8"/>
      <c r="K17" s="8"/>
      <c r="L17" s="8"/>
      <c r="M17" s="66"/>
      <c r="N17" s="67"/>
      <c r="O17" s="68"/>
      <c r="P17" s="66"/>
      <c r="Q17" s="66"/>
      <c r="R17" s="66"/>
      <c r="S17" s="66"/>
    </row>
    <row r="18" spans="1:19" x14ac:dyDescent="0.25">
      <c r="A18" s="29" t="s">
        <v>17</v>
      </c>
      <c r="B18" s="30"/>
      <c r="C18" s="30"/>
      <c r="D18" s="30"/>
      <c r="E18" s="30"/>
      <c r="F18" s="30"/>
      <c r="G18" s="8"/>
      <c r="H18" s="8"/>
      <c r="I18" s="8"/>
      <c r="J18" s="8"/>
      <c r="K18" s="8"/>
      <c r="L18" s="8"/>
      <c r="M18" s="66"/>
      <c r="N18" s="67"/>
      <c r="O18" s="68"/>
      <c r="P18" s="66"/>
      <c r="Q18" s="66"/>
      <c r="R18" s="66"/>
      <c r="S18" s="66"/>
    </row>
    <row r="19" spans="1:19" x14ac:dyDescent="0.25">
      <c r="A19" s="29" t="s">
        <v>18</v>
      </c>
      <c r="B19" s="30"/>
      <c r="C19" s="30"/>
      <c r="D19" s="30"/>
      <c r="E19" s="30"/>
      <c r="F19" s="30"/>
      <c r="G19" s="8"/>
      <c r="H19" s="8"/>
      <c r="I19" s="8"/>
      <c r="J19" s="8"/>
      <c r="K19" s="8"/>
      <c r="L19" s="8"/>
      <c r="M19" s="66"/>
      <c r="N19" s="67"/>
      <c r="O19" s="68"/>
      <c r="P19" s="66"/>
      <c r="Q19" s="66"/>
      <c r="R19" s="66"/>
      <c r="S19" s="66"/>
    </row>
    <row r="20" spans="1:19" x14ac:dyDescent="0.25">
      <c r="A20" s="31" t="s">
        <v>19</v>
      </c>
      <c r="B20" s="90"/>
      <c r="C20" s="90"/>
      <c r="D20" s="90"/>
      <c r="E20" s="90"/>
      <c r="F20" s="90"/>
      <c r="G20" s="8"/>
      <c r="H20" s="8"/>
      <c r="I20" s="8"/>
      <c r="J20" s="8"/>
      <c r="K20" s="8"/>
      <c r="L20" s="8"/>
      <c r="M20" s="66"/>
      <c r="N20" s="67"/>
      <c r="O20" s="68"/>
      <c r="P20" s="66"/>
      <c r="Q20" s="66"/>
      <c r="R20" s="66"/>
      <c r="S20" s="66"/>
    </row>
    <row r="21" spans="1:19" x14ac:dyDescent="0.25">
      <c r="A21" s="32"/>
      <c r="B21" s="32"/>
      <c r="C21" s="33"/>
      <c r="D21" s="34"/>
      <c r="E21" s="34"/>
      <c r="F21" s="8"/>
      <c r="G21" s="8"/>
      <c r="H21" s="8"/>
      <c r="I21" s="8"/>
      <c r="J21" s="8"/>
      <c r="K21" s="8"/>
      <c r="L21" s="8"/>
      <c r="M21" s="66"/>
      <c r="N21" s="67"/>
      <c r="O21" s="68"/>
      <c r="P21" s="66"/>
      <c r="Q21" s="66"/>
      <c r="R21" s="66"/>
      <c r="S21" s="66"/>
    </row>
    <row r="22" spans="1:19" x14ac:dyDescent="0.25">
      <c r="A22" s="80" t="s">
        <v>20</v>
      </c>
      <c r="B22" s="81"/>
      <c r="C22" s="81"/>
      <c r="D22" s="81"/>
      <c r="E22" s="81"/>
      <c r="F22" s="81"/>
      <c r="G22" s="81"/>
      <c r="H22" s="82"/>
      <c r="I22" s="8"/>
      <c r="J22" s="8"/>
      <c r="K22" s="27"/>
      <c r="L22" s="28"/>
      <c r="M22" s="66"/>
      <c r="N22" s="66"/>
      <c r="O22" s="66"/>
      <c r="P22" s="66"/>
      <c r="Q22" s="66"/>
      <c r="R22" s="66"/>
      <c r="S22" s="66"/>
    </row>
    <row r="23" spans="1:19" ht="56.25" x14ac:dyDescent="0.25">
      <c r="A23" s="61" t="s">
        <v>21</v>
      </c>
      <c r="B23" s="61" t="s">
        <v>22</v>
      </c>
      <c r="C23" s="61" t="s">
        <v>23</v>
      </c>
      <c r="D23" s="61" t="s">
        <v>24</v>
      </c>
      <c r="E23" s="61" t="s">
        <v>25</v>
      </c>
      <c r="F23" s="61" t="s">
        <v>26</v>
      </c>
      <c r="G23" s="61" t="s">
        <v>27</v>
      </c>
      <c r="H23" s="61" t="s">
        <v>28</v>
      </c>
      <c r="I23" s="8"/>
      <c r="J23" s="8"/>
      <c r="K23" s="27"/>
      <c r="L23" s="28"/>
      <c r="M23" s="66"/>
      <c r="N23" s="66"/>
      <c r="O23" s="66"/>
      <c r="P23" s="66"/>
      <c r="Q23" s="66"/>
      <c r="R23" s="66"/>
      <c r="S23" s="66"/>
    </row>
    <row r="24" spans="1:19" x14ac:dyDescent="0.25">
      <c r="A24" s="35" t="e" cm="1">
        <f t="array" ref="A24">LOOKUP(2,1/(H28:H31&lt;&gt;""),H28:H31)</f>
        <v>#N/A</v>
      </c>
      <c r="B24" s="35" t="e" cm="1">
        <f t="array" ref="B24">LOOKUP(2,1/(I28:I31&lt;&gt;""),I28:I31)</f>
        <v>#N/A</v>
      </c>
      <c r="C24" s="35" t="e" cm="1">
        <f t="array" ref="C24">LOOKUP(2,1/(J28:J31&lt;&gt;""),J28:J31)</f>
        <v>#N/A</v>
      </c>
      <c r="D24" s="35" t="e" cm="1">
        <f t="array" ref="D24">LOOKUP(2,1/(K28:K31&lt;&gt;""),K28:K31)</f>
        <v>#N/A</v>
      </c>
      <c r="E24" s="36">
        <v>1</v>
      </c>
      <c r="F24" s="36">
        <v>1</v>
      </c>
      <c r="G24" s="37">
        <v>0</v>
      </c>
      <c r="H24" s="37">
        <v>0</v>
      </c>
      <c r="I24" s="8"/>
      <c r="J24" s="8"/>
      <c r="K24" s="27"/>
      <c r="L24" s="28"/>
      <c r="M24" s="66"/>
      <c r="N24" s="66"/>
      <c r="O24" s="66"/>
      <c r="P24" s="66"/>
      <c r="Q24" s="66"/>
      <c r="R24" s="66"/>
      <c r="S24" s="66"/>
    </row>
    <row r="25" spans="1:19" x14ac:dyDescent="0.25">
      <c r="G25" s="8"/>
      <c r="H25" s="8"/>
      <c r="I25" s="8"/>
      <c r="J25" s="8"/>
      <c r="K25" s="8"/>
      <c r="L25" s="8"/>
      <c r="M25" s="66"/>
      <c r="N25" s="67"/>
      <c r="O25" s="68"/>
      <c r="P25" s="66"/>
      <c r="Q25" s="66"/>
      <c r="R25" s="66"/>
      <c r="S25" s="66"/>
    </row>
    <row r="26" spans="1:19" x14ac:dyDescent="0.25">
      <c r="A26" s="83" t="s">
        <v>29</v>
      </c>
      <c r="B26" s="84"/>
      <c r="C26" s="84"/>
      <c r="D26" s="84"/>
      <c r="E26" s="84"/>
      <c r="F26" s="84"/>
      <c r="G26" s="84"/>
      <c r="H26" s="84"/>
      <c r="I26" s="84"/>
      <c r="J26" s="84"/>
      <c r="K26" s="85"/>
      <c r="L26" s="8"/>
      <c r="M26" s="66"/>
      <c r="N26" s="69" t="str">
        <f>I27</f>
        <v>Performance Index (%)</v>
      </c>
      <c r="O26" s="68"/>
      <c r="P26" s="66"/>
      <c r="Q26" s="66"/>
      <c r="R26" s="66"/>
      <c r="S26" s="66"/>
    </row>
    <row r="27" spans="1:19" ht="24.75" x14ac:dyDescent="0.25">
      <c r="A27" s="60" t="s">
        <v>30</v>
      </c>
      <c r="B27" s="60" t="s">
        <v>31</v>
      </c>
      <c r="C27" s="60" t="s">
        <v>32</v>
      </c>
      <c r="D27" s="60" t="s">
        <v>33</v>
      </c>
      <c r="E27" s="60" t="s">
        <v>34</v>
      </c>
      <c r="F27" s="60" t="s">
        <v>35</v>
      </c>
      <c r="G27" s="60" t="s">
        <v>36</v>
      </c>
      <c r="H27" s="60" t="s">
        <v>21</v>
      </c>
      <c r="I27" s="60" t="s">
        <v>22</v>
      </c>
      <c r="J27" s="60" t="s">
        <v>23</v>
      </c>
      <c r="K27" s="60" t="s">
        <v>24</v>
      </c>
      <c r="L27" s="8"/>
      <c r="M27" s="70"/>
      <c r="N27" s="70" t="s">
        <v>0</v>
      </c>
      <c r="O27" s="70" t="s">
        <v>37</v>
      </c>
      <c r="P27" s="66"/>
      <c r="Q27" s="66"/>
      <c r="R27" s="66"/>
      <c r="S27" s="66"/>
    </row>
    <row r="28" spans="1:19" x14ac:dyDescent="0.25">
      <c r="A28" s="29" t="s">
        <v>15</v>
      </c>
      <c r="B28" s="38"/>
      <c r="C28" s="39"/>
      <c r="D28" s="39" t="str">
        <f>IF(B28="","",J28*C28)</f>
        <v/>
      </c>
      <c r="E28" s="39"/>
      <c r="F28" s="39" t="str">
        <f>IF(E28="", "", 390244)</f>
        <v/>
      </c>
      <c r="G28" s="39" t="str">
        <f>IF(B28="","",D29-B28)</f>
        <v/>
      </c>
      <c r="H28" s="40" t="str">
        <f>IF(B28="","",B28/C28)</f>
        <v/>
      </c>
      <c r="I28" s="40" t="str">
        <f>IF(B28="","",B28/D29)</f>
        <v/>
      </c>
      <c r="J28" s="40" t="str">
        <f>IF(B28="","",E28/F28)</f>
        <v/>
      </c>
      <c r="K28" s="40"/>
      <c r="L28" s="8"/>
      <c r="M28" s="70" t="str">
        <f>A28</f>
        <v>Q1</v>
      </c>
      <c r="N28" s="71" t="e">
        <f>IF(I28="",NA(),I28)</f>
        <v>#N/A</v>
      </c>
      <c r="O28" s="72" t="e">
        <f>IF(OR(I28="",I28=0),NA(),AVERAGE(I$28:I28))</f>
        <v>#N/A</v>
      </c>
      <c r="P28" s="66">
        <v>1</v>
      </c>
      <c r="Q28" s="66">
        <v>3</v>
      </c>
      <c r="R28" s="66"/>
      <c r="S28" s="66"/>
    </row>
    <row r="29" spans="1:19" x14ac:dyDescent="0.25">
      <c r="A29" s="29" t="s">
        <v>16</v>
      </c>
      <c r="B29" s="39"/>
      <c r="C29" s="39"/>
      <c r="D29" s="39" t="str">
        <f t="shared" ref="D29:D31" si="0">IF(B29="","",J29*C29)</f>
        <v/>
      </c>
      <c r="E29" s="39"/>
      <c r="F29" s="39" t="str">
        <f>IF(E29="", "", 660703)</f>
        <v/>
      </c>
      <c r="G29" s="39" t="str">
        <f>IF(B29="","",#REF!-B29)</f>
        <v/>
      </c>
      <c r="H29" s="40" t="str">
        <f t="shared" ref="H29:H31" si="1">IF(B29="","",B29/C29)</f>
        <v/>
      </c>
      <c r="I29" s="40" t="str">
        <f>IF(B29="","",B29/#REF!)</f>
        <v/>
      </c>
      <c r="J29" s="40" t="str">
        <f t="shared" ref="J29:J31" si="2">IF(B29="","",E29/F29)</f>
        <v/>
      </c>
      <c r="K29" s="40"/>
      <c r="L29" s="8"/>
      <c r="M29" s="70" t="str">
        <f t="shared" ref="M29:M31" si="3">A29</f>
        <v>Q2</v>
      </c>
      <c r="N29" s="71" t="e">
        <f t="shared" ref="N29:N31" si="4">IF(I29="",NA(),I29)</f>
        <v>#N/A</v>
      </c>
      <c r="O29" s="72" t="e">
        <f>IF(OR(I29="",I29=0),NA(),AVERAGE(I$28:I29))</f>
        <v>#N/A</v>
      </c>
      <c r="P29" s="66">
        <v>4</v>
      </c>
      <c r="Q29" s="66">
        <v>6</v>
      </c>
      <c r="R29" s="66"/>
      <c r="S29" s="66"/>
    </row>
    <row r="30" spans="1:19" x14ac:dyDescent="0.25">
      <c r="A30" s="29" t="s">
        <v>17</v>
      </c>
      <c r="B30" s="39"/>
      <c r="C30" s="39"/>
      <c r="D30" s="39" t="str">
        <f t="shared" si="0"/>
        <v/>
      </c>
      <c r="E30" s="39"/>
      <c r="F30" s="39" t="str">
        <f>IF(E30="", "", 600779)</f>
        <v/>
      </c>
      <c r="G30" s="39" t="str">
        <f t="shared" ref="G30:G31" si="5">IF(B30="","",D30-B30)</f>
        <v/>
      </c>
      <c r="H30" s="40" t="str">
        <f t="shared" si="1"/>
        <v/>
      </c>
      <c r="I30" s="40" t="str">
        <f t="shared" ref="I30:I31" si="6">IF(B30="","",B30/D30)</f>
        <v/>
      </c>
      <c r="J30" s="40" t="str">
        <f t="shared" si="2"/>
        <v/>
      </c>
      <c r="K30" s="41"/>
      <c r="L30" s="8"/>
      <c r="M30" s="70" t="str">
        <f t="shared" si="3"/>
        <v>Q3</v>
      </c>
      <c r="N30" s="71" t="e">
        <f t="shared" si="4"/>
        <v>#N/A</v>
      </c>
      <c r="O30" s="72" t="e">
        <f>IF(OR(I30="",I30=0),NA(),AVERAGE(I$28:I30))</f>
        <v>#N/A</v>
      </c>
      <c r="P30" s="66">
        <v>7</v>
      </c>
      <c r="Q30" s="66">
        <v>9</v>
      </c>
      <c r="R30" s="66"/>
      <c r="S30" s="66"/>
    </row>
    <row r="31" spans="1:19" x14ac:dyDescent="0.25">
      <c r="A31" s="29" t="s">
        <v>18</v>
      </c>
      <c r="B31" s="39"/>
      <c r="C31" s="39"/>
      <c r="D31" s="39" t="str">
        <f t="shared" si="0"/>
        <v/>
      </c>
      <c r="E31" s="39"/>
      <c r="F31" s="39" t="str">
        <f>IF(E31="", "", 341887)</f>
        <v/>
      </c>
      <c r="G31" s="39" t="str">
        <f t="shared" si="5"/>
        <v/>
      </c>
      <c r="H31" s="40" t="str">
        <f t="shared" si="1"/>
        <v/>
      </c>
      <c r="I31" s="40" t="str">
        <f t="shared" si="6"/>
        <v/>
      </c>
      <c r="J31" s="40" t="str">
        <f t="shared" si="2"/>
        <v/>
      </c>
      <c r="K31" s="41"/>
      <c r="L31" s="8"/>
      <c r="M31" s="70" t="str">
        <f t="shared" si="3"/>
        <v>Q4</v>
      </c>
      <c r="N31" s="71" t="e">
        <f t="shared" si="4"/>
        <v>#N/A</v>
      </c>
      <c r="O31" s="72" t="e">
        <f>IF(OR(I31="",I31=0),NA(),AVERAGE(I$28:I31))</f>
        <v>#N/A</v>
      </c>
      <c r="P31" s="66">
        <v>10</v>
      </c>
      <c r="Q31" s="66">
        <v>12</v>
      </c>
      <c r="R31" s="66"/>
      <c r="S31" s="66"/>
    </row>
    <row r="32" spans="1:19" x14ac:dyDescent="0.25">
      <c r="A32" s="63" t="s">
        <v>37</v>
      </c>
      <c r="B32" s="64">
        <f>SUM(B28:B31)</f>
        <v>0</v>
      </c>
      <c r="C32" s="64">
        <f t="shared" ref="C32:G32" si="7">SUM(C28:C31)</f>
        <v>0</v>
      </c>
      <c r="D32" s="64">
        <f>SUM(D29:D31)</f>
        <v>0</v>
      </c>
      <c r="E32" s="64">
        <f t="shared" si="7"/>
        <v>0</v>
      </c>
      <c r="F32" s="64">
        <f t="shared" si="7"/>
        <v>0</v>
      </c>
      <c r="G32" s="64">
        <f t="shared" si="7"/>
        <v>0</v>
      </c>
      <c r="H32" s="65" t="str">
        <f>IFERROR(AVERAGE(H28:H31),"")</f>
        <v/>
      </c>
      <c r="I32" s="65" t="str">
        <f t="shared" ref="I32:K32" si="8">IFERROR(AVERAGE(I28:I31),"")</f>
        <v/>
      </c>
      <c r="J32" s="65" t="str">
        <f t="shared" si="8"/>
        <v/>
      </c>
      <c r="K32" s="65" t="str">
        <f t="shared" si="8"/>
        <v/>
      </c>
      <c r="L32" s="8"/>
      <c r="M32" s="70"/>
      <c r="N32" s="70"/>
      <c r="O32" s="70"/>
      <c r="P32" s="66"/>
      <c r="Q32" s="66"/>
      <c r="R32" s="66"/>
      <c r="S32" s="66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8"/>
      <c r="M33" s="66"/>
      <c r="N33" s="66"/>
      <c r="O33" s="66"/>
      <c r="P33" s="66"/>
      <c r="Q33" s="66"/>
      <c r="R33" s="66"/>
      <c r="S33" s="66"/>
    </row>
    <row r="34" spans="1:19" x14ac:dyDescent="0.25">
      <c r="A34" s="86" t="s">
        <v>38</v>
      </c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"/>
      <c r="M34" s="66"/>
      <c r="N34" s="66"/>
      <c r="O34" s="66"/>
      <c r="P34" s="66"/>
      <c r="Q34" s="66"/>
      <c r="R34" s="66"/>
      <c r="S34" s="66"/>
    </row>
    <row r="35" spans="1:19" x14ac:dyDescent="0.25">
      <c r="A35" s="60" t="s">
        <v>39</v>
      </c>
      <c r="B35" s="60" t="s">
        <v>40</v>
      </c>
      <c r="C35" s="60" t="s">
        <v>41</v>
      </c>
      <c r="D35" s="60" t="s">
        <v>42</v>
      </c>
      <c r="E35" s="60" t="s">
        <v>43</v>
      </c>
      <c r="F35" s="60" t="s">
        <v>44</v>
      </c>
      <c r="G35" s="73" t="s">
        <v>45</v>
      </c>
      <c r="H35" s="73"/>
      <c r="I35" s="73"/>
      <c r="J35" s="73"/>
      <c r="K35" s="73"/>
      <c r="L35" s="8"/>
      <c r="M35" s="66"/>
      <c r="N35" s="66"/>
      <c r="O35" s="66"/>
      <c r="P35" s="66"/>
      <c r="Q35" s="66"/>
      <c r="R35" s="66"/>
      <c r="S35" s="66"/>
    </row>
    <row r="36" spans="1:19" x14ac:dyDescent="0.25">
      <c r="A36" s="42"/>
      <c r="B36" s="43"/>
      <c r="C36" s="44"/>
      <c r="D36" s="44"/>
      <c r="E36" s="45"/>
      <c r="F36" s="45"/>
      <c r="G36" s="87" t="s">
        <v>46</v>
      </c>
      <c r="H36" s="87"/>
      <c r="I36" s="87"/>
      <c r="J36" s="87"/>
      <c r="K36" s="87"/>
      <c r="L36" s="8"/>
      <c r="M36" s="66"/>
      <c r="N36" s="66"/>
      <c r="O36" s="66"/>
      <c r="P36" s="66"/>
      <c r="Q36" s="66"/>
      <c r="R36" s="66"/>
      <c r="S36" s="66"/>
    </row>
    <row r="37" spans="1:19" x14ac:dyDescent="0.25">
      <c r="A37" s="46"/>
      <c r="B37" s="46"/>
      <c r="C37" s="47"/>
      <c r="D37" s="48"/>
      <c r="E37" s="49"/>
      <c r="F37" s="50"/>
      <c r="G37" s="50"/>
      <c r="H37" s="50"/>
      <c r="I37" s="50"/>
      <c r="J37" s="50"/>
      <c r="K37" s="50"/>
      <c r="L37" s="8"/>
      <c r="M37" s="66"/>
      <c r="N37" s="66"/>
      <c r="O37" s="66"/>
      <c r="P37" s="66"/>
      <c r="Q37" s="66"/>
      <c r="R37" s="66"/>
      <c r="S37" s="66"/>
    </row>
    <row r="38" spans="1:19" x14ac:dyDescent="0.25">
      <c r="A38" s="86" t="s">
        <v>47</v>
      </c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"/>
      <c r="M38" s="66"/>
      <c r="N38" s="66"/>
      <c r="O38" s="66"/>
      <c r="P38" s="66"/>
      <c r="Q38" s="66"/>
      <c r="R38" s="66"/>
      <c r="S38" s="66"/>
    </row>
    <row r="39" spans="1:19" x14ac:dyDescent="0.25">
      <c r="A39" s="60" t="s">
        <v>39</v>
      </c>
      <c r="B39" s="60" t="s">
        <v>40</v>
      </c>
      <c r="C39" s="60" t="s">
        <v>48</v>
      </c>
      <c r="D39" s="60" t="s">
        <v>49</v>
      </c>
      <c r="E39" s="73" t="s">
        <v>44</v>
      </c>
      <c r="F39" s="73"/>
      <c r="G39" s="73"/>
      <c r="H39" s="73"/>
      <c r="I39" s="73"/>
      <c r="J39" s="73"/>
      <c r="K39" s="73"/>
      <c r="L39" s="8"/>
      <c r="M39" s="66"/>
      <c r="N39" s="66"/>
      <c r="O39" s="66"/>
      <c r="P39" s="66"/>
      <c r="Q39" s="66"/>
      <c r="R39" s="66"/>
      <c r="S39" s="66"/>
    </row>
    <row r="40" spans="1:19" x14ac:dyDescent="0.25">
      <c r="A40" s="42"/>
      <c r="B40" s="43"/>
      <c r="C40" s="44"/>
      <c r="D40" s="44"/>
      <c r="E40" s="74" t="s">
        <v>46</v>
      </c>
      <c r="F40" s="75"/>
      <c r="G40" s="75"/>
      <c r="H40" s="75"/>
      <c r="I40" s="75"/>
      <c r="J40" s="75"/>
      <c r="K40" s="76"/>
      <c r="L40" s="8"/>
      <c r="M40" s="66"/>
      <c r="N40" s="66"/>
      <c r="O40" s="66"/>
      <c r="P40" s="66"/>
      <c r="Q40" s="66"/>
      <c r="R40" s="66"/>
      <c r="S40" s="66"/>
    </row>
    <row r="41" spans="1:19" x14ac:dyDescent="0.25">
      <c r="A41" s="46"/>
      <c r="B41" s="46"/>
      <c r="C41" s="47"/>
      <c r="D41" s="48"/>
      <c r="E41" s="49"/>
      <c r="F41" s="50"/>
      <c r="G41" s="50"/>
      <c r="H41" s="50"/>
      <c r="I41" s="50"/>
      <c r="J41" s="50"/>
      <c r="K41" s="50"/>
      <c r="L41" s="8"/>
      <c r="M41" s="66"/>
      <c r="N41" s="66"/>
      <c r="O41" s="66"/>
      <c r="P41" s="66"/>
      <c r="Q41" s="66"/>
      <c r="R41" s="66"/>
      <c r="S41" s="66"/>
    </row>
    <row r="42" spans="1:19" x14ac:dyDescent="0.25">
      <c r="A42" s="58" t="s">
        <v>50</v>
      </c>
      <c r="B42" s="57"/>
      <c r="C42" s="57"/>
      <c r="D42" s="57"/>
      <c r="E42" s="57"/>
      <c r="F42" s="57"/>
      <c r="G42" s="57"/>
      <c r="H42" s="57"/>
      <c r="I42" s="57"/>
      <c r="J42" s="57"/>
      <c r="K42" s="59"/>
      <c r="L42" s="8"/>
      <c r="M42" s="66"/>
      <c r="N42" s="66"/>
      <c r="O42" s="66"/>
      <c r="P42" s="66"/>
      <c r="Q42" s="66"/>
      <c r="R42" s="66"/>
      <c r="S42" s="66"/>
    </row>
    <row r="43" spans="1:19" x14ac:dyDescent="0.25">
      <c r="A43" s="62" t="s">
        <v>51</v>
      </c>
      <c r="B43" s="62" t="s">
        <v>40</v>
      </c>
      <c r="C43" s="62" t="s">
        <v>52</v>
      </c>
      <c r="D43" s="62" t="s">
        <v>53</v>
      </c>
      <c r="E43" s="77" t="s">
        <v>54</v>
      </c>
      <c r="F43" s="78"/>
      <c r="G43" s="78"/>
      <c r="H43" s="78"/>
      <c r="I43" s="78"/>
      <c r="J43" s="78"/>
      <c r="K43" s="79"/>
      <c r="L43" s="8"/>
      <c r="M43" s="66"/>
      <c r="N43" s="66"/>
      <c r="O43" s="66"/>
      <c r="P43" s="66"/>
      <c r="Q43" s="66"/>
      <c r="R43" s="66"/>
      <c r="S43" s="66"/>
    </row>
    <row r="44" spans="1:19" x14ac:dyDescent="0.25">
      <c r="A44" s="51"/>
      <c r="B44" s="42"/>
      <c r="C44" s="44"/>
      <c r="D44" s="52"/>
      <c r="E44" s="74" t="s">
        <v>55</v>
      </c>
      <c r="F44" s="75"/>
      <c r="G44" s="75"/>
      <c r="H44" s="75"/>
      <c r="I44" s="75"/>
      <c r="J44" s="75"/>
      <c r="K44" s="76"/>
      <c r="L44" s="8"/>
      <c r="M44" s="66"/>
      <c r="N44" s="66"/>
      <c r="O44" s="66"/>
      <c r="P44" s="66"/>
      <c r="Q44" s="66"/>
      <c r="R44" s="66"/>
      <c r="S44" s="66"/>
    </row>
    <row r="45" spans="1:19" x14ac:dyDescent="0.25">
      <c r="A45" s="53" t="s">
        <v>56</v>
      </c>
      <c r="B45" s="54"/>
      <c r="C45" s="54"/>
      <c r="D45" s="54"/>
      <c r="E45" s="10"/>
      <c r="F45" s="10"/>
      <c r="G45" s="10"/>
      <c r="H45" s="10"/>
      <c r="I45" s="10"/>
      <c r="J45" s="10"/>
      <c r="K45" s="10"/>
      <c r="L45" s="8"/>
      <c r="M45" s="66"/>
      <c r="N45" s="66"/>
      <c r="O45" s="66"/>
      <c r="P45" s="66"/>
      <c r="Q45" s="66"/>
      <c r="R45" s="66"/>
      <c r="S45" s="66"/>
    </row>
    <row r="46" spans="1:19" x14ac:dyDescent="0.25">
      <c r="A46" s="54"/>
      <c r="B46" s="54"/>
      <c r="C46" s="54"/>
      <c r="D46" s="54"/>
      <c r="E46" s="10"/>
      <c r="F46" s="10"/>
      <c r="G46" s="10"/>
      <c r="H46" s="10"/>
      <c r="I46" s="10"/>
      <c r="J46" s="10"/>
      <c r="K46" s="10"/>
      <c r="L46" s="8"/>
      <c r="M46" s="66"/>
      <c r="N46" s="66"/>
      <c r="O46" s="66"/>
      <c r="P46" s="66"/>
      <c r="Q46" s="66"/>
      <c r="R46" s="66"/>
      <c r="S46" s="66"/>
    </row>
    <row r="47" spans="1:19" x14ac:dyDescent="0.25">
      <c r="A47" s="54"/>
      <c r="B47" s="54"/>
      <c r="C47" s="54"/>
      <c r="D47" s="54"/>
      <c r="E47" s="10"/>
      <c r="F47" s="10"/>
      <c r="G47" s="10"/>
      <c r="H47" s="10"/>
      <c r="I47" s="10"/>
      <c r="J47" s="10"/>
      <c r="K47" s="10"/>
      <c r="L47" s="8"/>
      <c r="M47" s="66"/>
      <c r="N47" s="66"/>
      <c r="O47" s="66"/>
      <c r="P47" s="66"/>
      <c r="Q47" s="66"/>
      <c r="R47" s="66"/>
      <c r="S47" s="66"/>
    </row>
    <row r="48" spans="1:19" x14ac:dyDescent="0.25">
      <c r="A48" s="54"/>
      <c r="B48" s="54"/>
      <c r="C48" s="54"/>
      <c r="D48" s="54"/>
      <c r="E48" s="10"/>
      <c r="F48" s="10"/>
      <c r="G48" s="10"/>
      <c r="H48" s="10"/>
      <c r="I48" s="10"/>
      <c r="J48" s="10"/>
      <c r="K48" s="10"/>
      <c r="L48" s="8"/>
      <c r="M48" s="66"/>
      <c r="N48" s="66"/>
      <c r="O48" s="66"/>
      <c r="P48" s="66"/>
      <c r="Q48" s="66"/>
      <c r="R48" s="66"/>
      <c r="S48" s="66"/>
    </row>
    <row r="49" spans="1:19" x14ac:dyDescent="0.25">
      <c r="A49" s="54"/>
      <c r="B49" s="54"/>
      <c r="C49" s="54"/>
      <c r="D49" s="54"/>
      <c r="E49" s="10"/>
      <c r="F49" s="10"/>
      <c r="G49" s="10"/>
      <c r="H49" s="10"/>
      <c r="I49" s="10"/>
      <c r="J49" s="10"/>
      <c r="K49" s="10"/>
      <c r="L49" s="8"/>
      <c r="M49" s="66"/>
      <c r="N49" s="66"/>
      <c r="O49" s="66"/>
      <c r="P49" s="66"/>
      <c r="Q49" s="66"/>
      <c r="R49" s="66"/>
      <c r="S49" s="66"/>
    </row>
    <row r="50" spans="1:19" x14ac:dyDescent="0.25">
      <c r="A50" s="54"/>
      <c r="B50" s="54"/>
      <c r="C50" s="54"/>
      <c r="D50" s="54"/>
      <c r="E50" s="10"/>
      <c r="F50" s="10"/>
      <c r="G50" s="10"/>
      <c r="H50" s="10"/>
      <c r="I50" s="10"/>
      <c r="J50" s="10"/>
      <c r="K50" s="10"/>
      <c r="L50" s="8"/>
      <c r="M50" s="66"/>
      <c r="N50" s="66"/>
      <c r="O50" s="66"/>
      <c r="P50" s="66"/>
      <c r="Q50" s="66"/>
      <c r="R50" s="66"/>
      <c r="S50" s="66"/>
    </row>
    <row r="51" spans="1:19" x14ac:dyDescent="0.25">
      <c r="A51" s="54"/>
      <c r="B51" s="54"/>
      <c r="C51" s="54"/>
      <c r="D51" s="54"/>
      <c r="E51" s="10"/>
      <c r="F51" s="10"/>
      <c r="G51" s="10"/>
      <c r="H51" s="10"/>
      <c r="I51" s="10"/>
      <c r="J51" s="10"/>
      <c r="K51" s="10"/>
      <c r="L51" s="8"/>
      <c r="M51" s="66"/>
      <c r="N51" s="66"/>
      <c r="O51" s="66"/>
      <c r="P51" s="66"/>
      <c r="Q51" s="66"/>
      <c r="R51" s="66"/>
      <c r="S51" s="66"/>
    </row>
    <row r="52" spans="1:19" x14ac:dyDescent="0.25">
      <c r="A52" s="54"/>
      <c r="B52" s="54"/>
      <c r="C52" s="54"/>
      <c r="D52" s="54"/>
      <c r="E52" s="10"/>
      <c r="F52" s="10"/>
      <c r="G52" s="10"/>
      <c r="H52" s="10"/>
      <c r="I52" s="10"/>
      <c r="J52" s="10"/>
      <c r="K52" s="10"/>
      <c r="L52" s="8"/>
      <c r="M52" s="66"/>
      <c r="N52" s="66"/>
      <c r="O52" s="66"/>
      <c r="P52" s="66"/>
      <c r="Q52" s="66"/>
      <c r="R52" s="66"/>
      <c r="S52" s="66"/>
    </row>
    <row r="53" spans="1:19" x14ac:dyDescent="0.25">
      <c r="A53" s="54"/>
      <c r="B53" s="54"/>
      <c r="C53" s="54"/>
      <c r="D53" s="54"/>
      <c r="E53" s="10"/>
      <c r="F53" s="10"/>
      <c r="G53" s="10"/>
      <c r="H53" s="10"/>
      <c r="I53" s="10"/>
      <c r="J53" s="10"/>
      <c r="K53" s="10"/>
      <c r="L53" s="8"/>
      <c r="M53" s="66"/>
      <c r="N53" s="66"/>
      <c r="O53" s="66"/>
      <c r="P53" s="66"/>
      <c r="Q53" s="66"/>
      <c r="R53" s="66"/>
      <c r="S53" s="66"/>
    </row>
    <row r="54" spans="1:19" x14ac:dyDescent="0.25">
      <c r="A54" s="54"/>
      <c r="B54" s="54"/>
      <c r="C54" s="54"/>
      <c r="D54" s="54"/>
      <c r="E54" s="10"/>
      <c r="F54" s="10"/>
      <c r="G54" s="10"/>
      <c r="H54" s="10"/>
      <c r="I54" s="10"/>
      <c r="J54" s="10"/>
      <c r="K54" s="10"/>
      <c r="L54" s="8"/>
      <c r="M54" s="66"/>
      <c r="N54" s="66"/>
      <c r="O54" s="66"/>
      <c r="P54" s="66"/>
      <c r="Q54" s="66"/>
      <c r="R54" s="66"/>
      <c r="S54" s="66"/>
    </row>
    <row r="55" spans="1:19" x14ac:dyDescent="0.25">
      <c r="A55" s="55"/>
      <c r="B55" s="55"/>
      <c r="C55" s="55"/>
      <c r="D55" s="55"/>
      <c r="E55" s="56"/>
      <c r="F55" s="56"/>
      <c r="G55" s="56"/>
      <c r="H55" s="56"/>
      <c r="I55" s="56"/>
      <c r="J55" s="56"/>
      <c r="K55" s="56"/>
      <c r="L55" s="8"/>
      <c r="M55" s="66"/>
      <c r="N55" s="66"/>
      <c r="O55" s="66"/>
      <c r="P55" s="66"/>
      <c r="Q55" s="66"/>
      <c r="R55" s="66"/>
      <c r="S55" s="66"/>
    </row>
    <row r="56" spans="1:19" x14ac:dyDescent="0.25">
      <c r="A56" s="55"/>
      <c r="B56" s="55"/>
      <c r="C56" s="55"/>
      <c r="D56" s="55"/>
      <c r="E56" s="56"/>
      <c r="F56" s="56"/>
      <c r="G56" s="56"/>
      <c r="H56" s="56"/>
      <c r="I56" s="56"/>
      <c r="J56" s="56"/>
      <c r="K56" s="56"/>
      <c r="L56" s="8"/>
      <c r="M56" s="66"/>
      <c r="N56" s="66"/>
      <c r="O56" s="66"/>
      <c r="P56" s="66"/>
      <c r="Q56" s="66"/>
      <c r="R56" s="66"/>
      <c r="S56" s="66"/>
    </row>
    <row r="57" spans="1:19" x14ac:dyDescent="0.25">
      <c r="A57" s="55"/>
      <c r="B57" s="55"/>
      <c r="C57" s="55"/>
      <c r="D57" s="55"/>
      <c r="E57" s="56"/>
      <c r="F57" s="56"/>
      <c r="G57" s="56"/>
      <c r="H57" s="56"/>
      <c r="I57" s="56"/>
      <c r="J57" s="56"/>
      <c r="K57" s="56"/>
      <c r="L57" s="8"/>
      <c r="M57" s="66"/>
      <c r="N57" s="66"/>
      <c r="O57" s="66"/>
      <c r="P57" s="66"/>
      <c r="Q57" s="66"/>
      <c r="R57" s="66"/>
      <c r="S57" s="66"/>
    </row>
    <row r="58" spans="1:19" x14ac:dyDescent="0.25">
      <c r="A58" s="55"/>
      <c r="B58" s="55"/>
      <c r="C58" s="55"/>
      <c r="D58" s="55"/>
      <c r="E58" s="56"/>
      <c r="F58" s="56"/>
      <c r="G58" s="56"/>
      <c r="H58" s="56"/>
      <c r="I58" s="56"/>
      <c r="J58" s="56"/>
      <c r="K58" s="56"/>
      <c r="L58" s="8"/>
      <c r="M58" s="66"/>
      <c r="N58" s="66"/>
      <c r="O58" s="66"/>
      <c r="P58" s="66"/>
      <c r="Q58" s="66"/>
      <c r="R58" s="66"/>
      <c r="S58" s="66"/>
    </row>
    <row r="59" spans="1:19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66"/>
      <c r="N59" s="66"/>
      <c r="O59" s="66"/>
      <c r="P59" s="66"/>
      <c r="Q59" s="66"/>
      <c r="R59" s="66"/>
      <c r="S59" s="66"/>
    </row>
    <row r="60" spans="1:19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66"/>
      <c r="N60" s="66"/>
      <c r="O60" s="66"/>
      <c r="P60" s="66"/>
      <c r="Q60" s="66"/>
      <c r="R60" s="66"/>
      <c r="S60" s="66"/>
    </row>
    <row r="61" spans="1:19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66"/>
      <c r="N61" s="66"/>
      <c r="O61" s="66"/>
      <c r="P61" s="66"/>
      <c r="Q61" s="66"/>
      <c r="R61" s="66"/>
      <c r="S61" s="66"/>
    </row>
  </sheetData>
  <mergeCells count="16">
    <mergeCell ref="B20:F20"/>
    <mergeCell ref="A5:C5"/>
    <mergeCell ref="I5:K5"/>
    <mergeCell ref="I6:K6"/>
    <mergeCell ref="I7:K7"/>
    <mergeCell ref="A14:F14"/>
    <mergeCell ref="E39:K39"/>
    <mergeCell ref="E40:K40"/>
    <mergeCell ref="E43:K43"/>
    <mergeCell ref="E44:K44"/>
    <mergeCell ref="A22:H22"/>
    <mergeCell ref="A26:K26"/>
    <mergeCell ref="A34:K34"/>
    <mergeCell ref="G35:K35"/>
    <mergeCell ref="G36:K36"/>
    <mergeCell ref="A38:K38"/>
  </mergeCells>
  <conditionalFormatting sqref="B16:F19">
    <cfRule type="dataBar" priority="3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{976E3CA3-5DB6-4B9C-AEDD-A5FD7380128B}</x14:id>
        </ext>
      </extLst>
    </cfRule>
    <cfRule type="dataBar" priority="4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{B7D37AE4-E6DB-47D4-93DB-02B295644845}</x14:id>
        </ext>
      </extLst>
    </cfRule>
  </conditionalFormatting>
  <conditionalFormatting sqref="H28:K28 H29:J31">
    <cfRule type="dataBar" priority="5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{C0486C41-DA4D-4159-94AC-6ADAA7B1504B}</x14:id>
        </ext>
      </extLst>
    </cfRule>
    <cfRule type="dataBar" priority="6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{A7F43677-B635-4478-A38D-A8F6957DB6D1}</x14:id>
        </ext>
      </extLst>
    </cfRule>
  </conditionalFormatting>
  <conditionalFormatting sqref="K29">
    <cfRule type="dataBar" priority="1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{EA09DB09-19C4-4072-BBD4-3405A01CEAA2}</x14:id>
        </ext>
      </extLst>
    </cfRule>
    <cfRule type="dataBar" priority="2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{8C7209BF-0DE1-4AD6-878F-69B02BA59C6B}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76E3CA3-5DB6-4B9C-AEDD-A5FD7380128B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B7D37AE4-E6DB-47D4-93DB-02B295644845}">
            <x14:dataBar minLength="0" maxLength="100" gradient="0" negativeBarColorSameAsPositive="1" axisPosition="none">
              <x14:cfvo type="min"/>
              <x14:cfvo type="max"/>
            </x14:dataBar>
          </x14:cfRule>
          <xm:sqref>B16:F19</xm:sqref>
        </x14:conditionalFormatting>
        <x14:conditionalFormatting xmlns:xm="http://schemas.microsoft.com/office/excel/2006/main">
          <x14:cfRule type="dataBar" id="{C0486C41-DA4D-4159-94AC-6ADAA7B1504B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A7F43677-B635-4478-A38D-A8F6957DB6D1}">
            <x14:dataBar minLength="0" maxLength="100" gradient="0" negativeBarColorSameAsPositive="1" axisPosition="none">
              <x14:cfvo type="min"/>
              <x14:cfvo type="max"/>
            </x14:dataBar>
          </x14:cfRule>
          <xm:sqref>H28:K28 H29:J31</xm:sqref>
        </x14:conditionalFormatting>
        <x14:conditionalFormatting xmlns:xm="http://schemas.microsoft.com/office/excel/2006/main">
          <x14:cfRule type="dataBar" id="{EA09DB09-19C4-4072-BBD4-3405A01CEAA2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8C7209BF-0DE1-4AD6-878F-69B02BA59C6B}">
            <x14:dataBar minLength="0" maxLength="100" gradient="0" negativeBarColorSameAsPositive="1" axisPosition="none">
              <x14:cfvo type="min"/>
              <x14:cfvo type="max"/>
            </x14:dataBar>
          </x14:cfRule>
          <xm:sqref>K29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5AACC-F4DB-49E1-A2B0-C558FA37EDF6}">
  <sheetPr codeName="Sheet7"/>
  <dimension ref="A1:AA61"/>
  <sheetViews>
    <sheetView zoomScale="130" zoomScaleNormal="130" workbookViewId="0">
      <selection activeCell="F30" sqref="F30"/>
    </sheetView>
  </sheetViews>
  <sheetFormatPr defaultRowHeight="15" x14ac:dyDescent="0.25"/>
  <cols>
    <col min="1" max="1" width="16.7109375" style="5" customWidth="1"/>
    <col min="2" max="2" width="19.5703125" style="5" customWidth="1"/>
    <col min="3" max="3" width="15.140625" style="5" customWidth="1"/>
    <col min="4" max="4" width="13.28515625" style="5" customWidth="1"/>
    <col min="5" max="5" width="12.5703125" style="5" customWidth="1"/>
    <col min="6" max="6" width="21.42578125" style="5" customWidth="1"/>
    <col min="7" max="7" width="38.42578125" style="5" customWidth="1"/>
    <col min="8" max="12" width="9.140625" style="5"/>
    <col min="28" max="16384" width="9.140625" style="5"/>
  </cols>
  <sheetData>
    <row r="1" spans="1:19" ht="15.75" x14ac:dyDescent="0.25">
      <c r="A1" s="3"/>
      <c r="B1" s="4"/>
      <c r="C1" s="4"/>
      <c r="D1" s="3"/>
      <c r="E1" s="2"/>
      <c r="F1" s="2" t="s">
        <v>69</v>
      </c>
      <c r="G1" s="4"/>
      <c r="H1" s="4"/>
      <c r="I1" s="4"/>
      <c r="J1" s="4"/>
      <c r="K1" s="4"/>
    </row>
    <row r="2" spans="1:19" ht="15.75" x14ac:dyDescent="0.25">
      <c r="A2" s="4"/>
      <c r="B2" s="4"/>
      <c r="C2" s="4"/>
      <c r="D2" s="3"/>
      <c r="E2" s="6"/>
      <c r="F2" s="2" t="s">
        <v>70</v>
      </c>
      <c r="G2" s="3"/>
      <c r="H2" s="3"/>
      <c r="I2" s="4"/>
      <c r="J2" s="4"/>
      <c r="K2" s="4"/>
    </row>
    <row r="3" spans="1:19" x14ac:dyDescent="0.25">
      <c r="A3" s="8"/>
      <c r="B3" s="8"/>
      <c r="C3" s="9"/>
      <c r="D3" s="10"/>
      <c r="E3" s="11"/>
      <c r="F3" s="7" t="s">
        <v>59</v>
      </c>
      <c r="G3" s="9"/>
      <c r="H3" s="9"/>
      <c r="I3" s="9"/>
      <c r="J3" s="9"/>
      <c r="K3" s="9"/>
    </row>
    <row r="4" spans="1:19" ht="33" customHeight="1" x14ac:dyDescent="0.25">
      <c r="A4" s="8"/>
      <c r="B4" s="8"/>
      <c r="C4" s="8"/>
      <c r="D4" s="10"/>
      <c r="E4" s="12"/>
      <c r="F4" s="12" t="str">
        <f ca="1">IF(COUNTA(B28:B31)=0, "Reporting Period: " &amp; YEAR(TODAY()),
    IF(COUNTA(B28:B31)=1, "Reporting Period: January - March " &amp; YEAR(TODAY()),
    IF(COUNTA(B28:B31)=2, "Reporting Period: April - June " &amp; YEAR(TODAY()),
    IF(COUNTA(B28:B31)=3, "Reporting Period: July - September " &amp; YEAR(TODAY()),
    "Reporting Period: October - December " &amp; YEAR(TODAY())))))</f>
        <v>Reporting Period: 2024</v>
      </c>
      <c r="G4" s="13"/>
      <c r="H4" s="13"/>
      <c r="I4" s="13"/>
      <c r="J4" s="13"/>
      <c r="K4" s="13"/>
    </row>
    <row r="5" spans="1:19" x14ac:dyDescent="0.25">
      <c r="A5" s="80" t="s">
        <v>1</v>
      </c>
      <c r="B5" s="81"/>
      <c r="C5" s="82"/>
      <c r="D5" s="14"/>
      <c r="E5" s="14"/>
      <c r="F5" s="8"/>
      <c r="G5" s="15"/>
      <c r="H5" s="15"/>
      <c r="I5" s="88"/>
      <c r="J5" s="88"/>
      <c r="K5" s="88"/>
    </row>
    <row r="6" spans="1:19" x14ac:dyDescent="0.25">
      <c r="A6" s="16"/>
      <c r="B6" s="17" t="s">
        <v>2</v>
      </c>
      <c r="C6" s="18">
        <v>7.2</v>
      </c>
      <c r="D6" s="19"/>
      <c r="E6" s="19"/>
      <c r="F6" s="8"/>
      <c r="G6" s="15"/>
      <c r="H6" s="15"/>
      <c r="I6" s="88"/>
      <c r="J6" s="88"/>
      <c r="K6" s="88"/>
    </row>
    <row r="7" spans="1:19" x14ac:dyDescent="0.25">
      <c r="A7" s="16"/>
      <c r="B7" s="17" t="s">
        <v>3</v>
      </c>
      <c r="C7" s="18">
        <v>5</v>
      </c>
      <c r="D7" s="19"/>
      <c r="E7" s="19"/>
      <c r="F7" s="8"/>
      <c r="G7" s="15"/>
      <c r="H7" s="15"/>
      <c r="I7" s="88"/>
      <c r="J7" s="88"/>
      <c r="K7" s="88"/>
    </row>
    <row r="8" spans="1:19" x14ac:dyDescent="0.25">
      <c r="A8" s="16"/>
      <c r="B8" s="17" t="s">
        <v>4</v>
      </c>
      <c r="C8" s="20">
        <v>2</v>
      </c>
      <c r="D8" s="21"/>
      <c r="E8" s="21"/>
      <c r="F8" s="8"/>
      <c r="G8" s="15"/>
      <c r="H8" s="8"/>
      <c r="I8" s="8"/>
      <c r="J8" s="8"/>
      <c r="K8" s="8"/>
    </row>
    <row r="9" spans="1:19" x14ac:dyDescent="0.25">
      <c r="A9" s="16"/>
      <c r="B9" s="17" t="s">
        <v>5</v>
      </c>
      <c r="C9" s="22">
        <v>20020</v>
      </c>
      <c r="D9" s="21"/>
      <c r="E9" s="21"/>
      <c r="F9" s="8"/>
      <c r="G9" s="15"/>
      <c r="H9" s="8"/>
      <c r="I9" s="8"/>
      <c r="J9" s="8"/>
      <c r="K9" s="8"/>
    </row>
    <row r="10" spans="1:19" x14ac:dyDescent="0.25">
      <c r="A10" s="16"/>
      <c r="B10" s="17" t="s">
        <v>6</v>
      </c>
      <c r="C10" s="20">
        <v>2</v>
      </c>
      <c r="D10" s="21"/>
      <c r="E10" s="21"/>
      <c r="F10" s="8"/>
      <c r="G10" s="15"/>
      <c r="H10" s="8"/>
      <c r="I10" s="8"/>
      <c r="J10" s="8"/>
      <c r="K10" s="8"/>
    </row>
    <row r="11" spans="1:19" x14ac:dyDescent="0.25">
      <c r="A11" s="16"/>
      <c r="B11" s="17" t="s">
        <v>7</v>
      </c>
      <c r="C11" s="20">
        <v>32</v>
      </c>
      <c r="D11" s="21"/>
      <c r="E11" s="21"/>
      <c r="F11" s="8"/>
      <c r="G11" s="15"/>
      <c r="H11" s="8"/>
      <c r="I11" s="8"/>
      <c r="J11" s="8"/>
      <c r="K11" s="8"/>
    </row>
    <row r="12" spans="1:19" x14ac:dyDescent="0.25">
      <c r="A12" s="23"/>
      <c r="B12" s="23"/>
      <c r="C12" s="24"/>
      <c r="D12" s="21"/>
      <c r="E12" s="21"/>
      <c r="F12" s="8"/>
      <c r="G12" s="8"/>
      <c r="H12" s="8"/>
      <c r="I12" s="8"/>
      <c r="J12" s="8"/>
      <c r="K12" s="8"/>
    </row>
    <row r="13" spans="1:19" x14ac:dyDescent="0.25">
      <c r="A13" s="25"/>
      <c r="B13" s="25"/>
      <c r="C13" s="26"/>
      <c r="D13" s="21"/>
      <c r="E13" s="21"/>
      <c r="F13" s="8"/>
      <c r="G13" s="8"/>
      <c r="H13" s="8"/>
      <c r="I13" s="8"/>
      <c r="J13" s="8"/>
      <c r="K13" s="8"/>
    </row>
    <row r="14" spans="1:19" x14ac:dyDescent="0.25">
      <c r="A14" s="89" t="s">
        <v>8</v>
      </c>
      <c r="B14" s="89"/>
      <c r="C14" s="89"/>
      <c r="D14" s="89"/>
      <c r="E14" s="89"/>
      <c r="F14" s="89"/>
      <c r="G14" s="8"/>
      <c r="H14" s="8"/>
      <c r="I14" s="8"/>
      <c r="J14" s="8"/>
      <c r="K14" s="8"/>
      <c r="L14" s="8"/>
      <c r="M14" s="66"/>
      <c r="N14" s="66"/>
      <c r="O14" s="66"/>
      <c r="P14" s="66"/>
      <c r="Q14" s="66"/>
      <c r="R14" s="66"/>
      <c r="S14" s="66"/>
    </row>
    <row r="15" spans="1:19" ht="16.5" x14ac:dyDescent="0.25">
      <c r="A15" s="60" t="s">
        <v>9</v>
      </c>
      <c r="B15" s="60" t="s">
        <v>10</v>
      </c>
      <c r="C15" s="60" t="s">
        <v>11</v>
      </c>
      <c r="D15" s="60" t="s">
        <v>12</v>
      </c>
      <c r="E15" s="60" t="s">
        <v>13</v>
      </c>
      <c r="F15" s="60" t="s">
        <v>14</v>
      </c>
      <c r="G15" s="8"/>
      <c r="H15" s="8"/>
      <c r="I15" s="8"/>
      <c r="J15" s="8"/>
      <c r="K15" s="8"/>
      <c r="L15" s="8"/>
      <c r="M15" s="66"/>
      <c r="N15" s="67"/>
      <c r="O15" s="68"/>
      <c r="P15" s="66"/>
      <c r="Q15" s="66"/>
      <c r="R15" s="66"/>
      <c r="S15" s="66"/>
    </row>
    <row r="16" spans="1:19" x14ac:dyDescent="0.25">
      <c r="A16" s="29" t="s">
        <v>15</v>
      </c>
      <c r="B16" s="30"/>
      <c r="C16" s="30"/>
      <c r="D16" s="30"/>
      <c r="E16" s="30"/>
      <c r="F16" s="30"/>
      <c r="G16" s="8"/>
      <c r="H16" s="8"/>
      <c r="I16" s="8"/>
      <c r="J16" s="8"/>
      <c r="K16" s="8"/>
      <c r="L16" s="8"/>
      <c r="M16" s="66"/>
      <c r="N16" s="67"/>
      <c r="O16" s="68"/>
      <c r="P16" s="66"/>
      <c r="Q16" s="66"/>
      <c r="R16" s="66"/>
      <c r="S16" s="66"/>
    </row>
    <row r="17" spans="1:19" x14ac:dyDescent="0.25">
      <c r="A17" s="29" t="s">
        <v>16</v>
      </c>
      <c r="B17" s="30"/>
      <c r="C17" s="30"/>
      <c r="D17" s="30"/>
      <c r="E17" s="30"/>
      <c r="F17" s="30"/>
      <c r="G17" s="8"/>
      <c r="H17" s="8"/>
      <c r="I17" s="8"/>
      <c r="J17" s="8"/>
      <c r="K17" s="8"/>
      <c r="L17" s="8"/>
      <c r="M17" s="66"/>
      <c r="N17" s="67"/>
      <c r="O17" s="68"/>
      <c r="P17" s="66"/>
      <c r="Q17" s="66"/>
      <c r="R17" s="66"/>
      <c r="S17" s="66"/>
    </row>
    <row r="18" spans="1:19" x14ac:dyDescent="0.25">
      <c r="A18" s="29" t="s">
        <v>17</v>
      </c>
      <c r="B18" s="30"/>
      <c r="C18" s="30"/>
      <c r="D18" s="30"/>
      <c r="E18" s="30"/>
      <c r="F18" s="30"/>
      <c r="G18" s="8"/>
      <c r="H18" s="8"/>
      <c r="I18" s="8"/>
      <c r="J18" s="8"/>
      <c r="K18" s="8"/>
      <c r="L18" s="8"/>
      <c r="M18" s="66"/>
      <c r="N18" s="67"/>
      <c r="O18" s="68"/>
      <c r="P18" s="66"/>
      <c r="Q18" s="66"/>
      <c r="R18" s="66"/>
      <c r="S18" s="66"/>
    </row>
    <row r="19" spans="1:19" x14ac:dyDescent="0.25">
      <c r="A19" s="29" t="s">
        <v>18</v>
      </c>
      <c r="B19" s="30"/>
      <c r="C19" s="30"/>
      <c r="D19" s="30"/>
      <c r="E19" s="30"/>
      <c r="F19" s="30"/>
      <c r="G19" s="8"/>
      <c r="H19" s="8"/>
      <c r="I19" s="8"/>
      <c r="J19" s="8"/>
      <c r="K19" s="8"/>
      <c r="L19" s="8"/>
      <c r="M19" s="66"/>
      <c r="N19" s="67"/>
      <c r="O19" s="68"/>
      <c r="P19" s="66"/>
      <c r="Q19" s="66"/>
      <c r="R19" s="66"/>
      <c r="S19" s="66"/>
    </row>
    <row r="20" spans="1:19" x14ac:dyDescent="0.25">
      <c r="A20" s="31" t="s">
        <v>19</v>
      </c>
      <c r="B20" s="90"/>
      <c r="C20" s="90"/>
      <c r="D20" s="90"/>
      <c r="E20" s="90"/>
      <c r="F20" s="90"/>
      <c r="G20" s="8"/>
      <c r="H20" s="8"/>
      <c r="I20" s="8"/>
      <c r="J20" s="8"/>
      <c r="K20" s="8"/>
      <c r="L20" s="8"/>
      <c r="M20" s="66"/>
      <c r="N20" s="67"/>
      <c r="O20" s="68"/>
      <c r="P20" s="66"/>
      <c r="Q20" s="66"/>
      <c r="R20" s="66"/>
      <c r="S20" s="66"/>
    </row>
    <row r="21" spans="1:19" x14ac:dyDescent="0.25">
      <c r="A21" s="32"/>
      <c r="B21" s="32"/>
      <c r="C21" s="33"/>
      <c r="D21" s="34"/>
      <c r="E21" s="34"/>
      <c r="F21" s="8"/>
      <c r="G21" s="8"/>
      <c r="H21" s="8"/>
      <c r="I21" s="8"/>
      <c r="J21" s="8"/>
      <c r="K21" s="8"/>
      <c r="L21" s="8"/>
      <c r="M21" s="66"/>
      <c r="N21" s="67"/>
      <c r="O21" s="68"/>
      <c r="P21" s="66"/>
      <c r="Q21" s="66"/>
      <c r="R21" s="66"/>
      <c r="S21" s="66"/>
    </row>
    <row r="22" spans="1:19" x14ac:dyDescent="0.25">
      <c r="A22" s="80" t="s">
        <v>20</v>
      </c>
      <c r="B22" s="81"/>
      <c r="C22" s="81"/>
      <c r="D22" s="81"/>
      <c r="E22" s="81"/>
      <c r="F22" s="81"/>
      <c r="G22" s="81"/>
      <c r="H22" s="82"/>
      <c r="I22" s="8"/>
      <c r="J22" s="8"/>
      <c r="K22" s="27"/>
      <c r="L22" s="28"/>
      <c r="M22" s="66"/>
      <c r="N22" s="66"/>
      <c r="O22" s="66"/>
      <c r="P22" s="66"/>
      <c r="Q22" s="66"/>
      <c r="R22" s="66"/>
      <c r="S22" s="66"/>
    </row>
    <row r="23" spans="1:19" ht="56.25" x14ac:dyDescent="0.25">
      <c r="A23" s="61" t="s">
        <v>21</v>
      </c>
      <c r="B23" s="61" t="s">
        <v>22</v>
      </c>
      <c r="C23" s="61" t="s">
        <v>23</v>
      </c>
      <c r="D23" s="61" t="s">
        <v>24</v>
      </c>
      <c r="E23" s="61" t="s">
        <v>25</v>
      </c>
      <c r="F23" s="61" t="s">
        <v>26</v>
      </c>
      <c r="G23" s="61" t="s">
        <v>27</v>
      </c>
      <c r="H23" s="61" t="s">
        <v>28</v>
      </c>
      <c r="I23" s="8"/>
      <c r="J23" s="8"/>
      <c r="K23" s="27"/>
      <c r="L23" s="28"/>
      <c r="M23" s="66"/>
      <c r="N23" s="66"/>
      <c r="O23" s="66"/>
      <c r="P23" s="66"/>
      <c r="Q23" s="66"/>
      <c r="R23" s="66"/>
      <c r="S23" s="66"/>
    </row>
    <row r="24" spans="1:19" x14ac:dyDescent="0.25">
      <c r="A24" s="35" t="e" cm="1">
        <f t="array" ref="A24">LOOKUP(2,1/(H28:H31&lt;&gt;""),H28:H31)</f>
        <v>#N/A</v>
      </c>
      <c r="B24" s="35" t="e" cm="1">
        <f t="array" ref="B24">LOOKUP(2,1/(I28:I31&lt;&gt;""),I28:I31)</f>
        <v>#N/A</v>
      </c>
      <c r="C24" s="35" t="e" cm="1">
        <f t="array" ref="C24">LOOKUP(2,1/(J28:J31&lt;&gt;""),J28:J31)</f>
        <v>#N/A</v>
      </c>
      <c r="D24" s="35" t="e" cm="1">
        <f t="array" ref="D24">LOOKUP(2,1/(K28:K31&lt;&gt;""),K28:K31)</f>
        <v>#N/A</v>
      </c>
      <c r="E24" s="36">
        <v>1</v>
      </c>
      <c r="F24" s="36">
        <v>1</v>
      </c>
      <c r="G24" s="37">
        <v>0</v>
      </c>
      <c r="H24" s="37">
        <v>0</v>
      </c>
      <c r="I24" s="8"/>
      <c r="J24" s="8"/>
      <c r="K24" s="27"/>
      <c r="L24" s="28"/>
      <c r="M24" s="66"/>
      <c r="N24" s="66"/>
      <c r="O24" s="66"/>
      <c r="P24" s="66"/>
      <c r="Q24" s="66"/>
      <c r="R24" s="66"/>
      <c r="S24" s="66"/>
    </row>
    <row r="25" spans="1:19" x14ac:dyDescent="0.25">
      <c r="G25" s="8"/>
      <c r="H25" s="8"/>
      <c r="I25" s="8"/>
      <c r="J25" s="8"/>
      <c r="K25" s="8"/>
      <c r="L25" s="8"/>
      <c r="M25" s="66"/>
      <c r="N25" s="67"/>
      <c r="O25" s="68"/>
      <c r="P25" s="66"/>
      <c r="Q25" s="66"/>
      <c r="R25" s="66"/>
      <c r="S25" s="66"/>
    </row>
    <row r="26" spans="1:19" x14ac:dyDescent="0.25">
      <c r="A26" s="83" t="s">
        <v>29</v>
      </c>
      <c r="B26" s="84"/>
      <c r="C26" s="84"/>
      <c r="D26" s="84"/>
      <c r="E26" s="84"/>
      <c r="F26" s="84"/>
      <c r="G26" s="84"/>
      <c r="H26" s="84"/>
      <c r="I26" s="84"/>
      <c r="J26" s="84"/>
      <c r="K26" s="85"/>
      <c r="L26" s="8"/>
      <c r="M26" s="66"/>
      <c r="N26" s="69" t="str">
        <f>I27</f>
        <v>Performance Index (%)</v>
      </c>
      <c r="O26" s="68"/>
      <c r="P26" s="66"/>
      <c r="Q26" s="66"/>
      <c r="R26" s="66"/>
      <c r="S26" s="66"/>
    </row>
    <row r="27" spans="1:19" ht="24.75" x14ac:dyDescent="0.25">
      <c r="A27" s="60" t="s">
        <v>30</v>
      </c>
      <c r="B27" s="60" t="s">
        <v>31</v>
      </c>
      <c r="C27" s="60" t="s">
        <v>32</v>
      </c>
      <c r="D27" s="60" t="s">
        <v>33</v>
      </c>
      <c r="E27" s="60" t="s">
        <v>34</v>
      </c>
      <c r="F27" s="60" t="s">
        <v>35</v>
      </c>
      <c r="G27" s="60" t="s">
        <v>36</v>
      </c>
      <c r="H27" s="60" t="s">
        <v>21</v>
      </c>
      <c r="I27" s="60" t="s">
        <v>22</v>
      </c>
      <c r="J27" s="60" t="s">
        <v>23</v>
      </c>
      <c r="K27" s="60" t="s">
        <v>24</v>
      </c>
      <c r="L27" s="8"/>
      <c r="M27" s="70"/>
      <c r="N27" s="70" t="s">
        <v>0</v>
      </c>
      <c r="O27" s="70" t="s">
        <v>37</v>
      </c>
      <c r="P27" s="66"/>
      <c r="Q27" s="66"/>
      <c r="R27" s="66"/>
      <c r="S27" s="66"/>
    </row>
    <row r="28" spans="1:19" x14ac:dyDescent="0.25">
      <c r="A28" s="29" t="s">
        <v>15</v>
      </c>
      <c r="B28" s="38"/>
      <c r="C28" s="39"/>
      <c r="D28" s="39" t="str">
        <f>IF(B28="","",J28*C28)</f>
        <v/>
      </c>
      <c r="E28" s="39"/>
      <c r="F28" s="39" t="str">
        <f>IF(E28="", "", 417627)</f>
        <v/>
      </c>
      <c r="G28" s="39" t="str">
        <f>IF(B28="","",D29-B28)</f>
        <v/>
      </c>
      <c r="H28" s="40" t="str">
        <f>IF(B28="","",B28/C28)</f>
        <v/>
      </c>
      <c r="I28" s="40" t="str">
        <f>IF(B28="","",B28/D29)</f>
        <v/>
      </c>
      <c r="J28" s="40" t="str">
        <f>IF(B28="","",E28/F28)</f>
        <v/>
      </c>
      <c r="K28" s="40"/>
      <c r="L28" s="8"/>
      <c r="M28" s="70" t="str">
        <f>A28</f>
        <v>Q1</v>
      </c>
      <c r="N28" s="71" t="e">
        <f>IF(I28="",NA(),I28)</f>
        <v>#N/A</v>
      </c>
      <c r="O28" s="72" t="e">
        <f>IF(OR(I28="",I28=0),NA(),AVERAGE(I$28:I28))</f>
        <v>#N/A</v>
      </c>
      <c r="P28" s="66">
        <v>1</v>
      </c>
      <c r="Q28" s="66">
        <v>3</v>
      </c>
      <c r="R28" s="66"/>
      <c r="S28" s="66"/>
    </row>
    <row r="29" spans="1:19" x14ac:dyDescent="0.25">
      <c r="A29" s="29" t="s">
        <v>16</v>
      </c>
      <c r="B29" s="39"/>
      <c r="C29" s="39"/>
      <c r="D29" s="39" t="str">
        <f t="shared" ref="D29:D31" si="0">IF(B29="","",J29*C29)</f>
        <v/>
      </c>
      <c r="E29" s="39"/>
      <c r="F29" s="39" t="str">
        <f>IF(E29="", "", 692772)</f>
        <v/>
      </c>
      <c r="G29" s="39" t="str">
        <f>IF(B29="","",#REF!-B29)</f>
        <v/>
      </c>
      <c r="H29" s="40" t="str">
        <f t="shared" ref="H29:H31" si="1">IF(B29="","",B29/C29)</f>
        <v/>
      </c>
      <c r="I29" s="40" t="str">
        <f>IF(B29="","",B29/#REF!)</f>
        <v/>
      </c>
      <c r="J29" s="40" t="str">
        <f t="shared" ref="J29:J31" si="2">IF(B29="","",E29/F29)</f>
        <v/>
      </c>
      <c r="K29" s="40"/>
      <c r="L29" s="8"/>
      <c r="M29" s="70" t="str">
        <f t="shared" ref="M29:M31" si="3">A29</f>
        <v>Q2</v>
      </c>
      <c r="N29" s="71" t="e">
        <f t="shared" ref="N29:N31" si="4">IF(I29="",NA(),I29)</f>
        <v>#N/A</v>
      </c>
      <c r="O29" s="72" t="e">
        <f>IF(OR(I29="",I29=0),NA(),AVERAGE(I$28:I29))</f>
        <v>#N/A</v>
      </c>
      <c r="P29" s="66">
        <v>4</v>
      </c>
      <c r="Q29" s="66">
        <v>6</v>
      </c>
      <c r="R29" s="66"/>
      <c r="S29" s="66"/>
    </row>
    <row r="30" spans="1:19" x14ac:dyDescent="0.25">
      <c r="A30" s="29" t="s">
        <v>17</v>
      </c>
      <c r="B30" s="39"/>
      <c r="C30" s="39"/>
      <c r="D30" s="39" t="str">
        <f t="shared" si="0"/>
        <v/>
      </c>
      <c r="E30" s="39"/>
      <c r="F30" s="39" t="str">
        <f>IF(E30="", "", 606178)</f>
        <v/>
      </c>
      <c r="G30" s="39" t="str">
        <f t="shared" ref="G30:G31" si="5">IF(B30="","",D30-B30)</f>
        <v/>
      </c>
      <c r="H30" s="40" t="str">
        <f t="shared" si="1"/>
        <v/>
      </c>
      <c r="I30" s="40" t="str">
        <f t="shared" ref="I30:I31" si="6">IF(B30="","",B30/D30)</f>
        <v/>
      </c>
      <c r="J30" s="40" t="str">
        <f t="shared" si="2"/>
        <v/>
      </c>
      <c r="K30" s="41"/>
      <c r="L30" s="8"/>
      <c r="M30" s="70" t="str">
        <f t="shared" si="3"/>
        <v>Q3</v>
      </c>
      <c r="N30" s="71" t="e">
        <f t="shared" si="4"/>
        <v>#N/A</v>
      </c>
      <c r="O30" s="72" t="e">
        <f>IF(OR(I30="",I30=0),NA(),AVERAGE(I$28:I30))</f>
        <v>#N/A</v>
      </c>
      <c r="P30" s="66">
        <v>7</v>
      </c>
      <c r="Q30" s="66">
        <v>9</v>
      </c>
      <c r="R30" s="66"/>
      <c r="S30" s="66"/>
    </row>
    <row r="31" spans="1:19" x14ac:dyDescent="0.25">
      <c r="A31" s="29" t="s">
        <v>18</v>
      </c>
      <c r="B31" s="39"/>
      <c r="C31" s="39"/>
      <c r="D31" s="39" t="str">
        <f t="shared" si="0"/>
        <v/>
      </c>
      <c r="E31" s="39"/>
      <c r="F31" s="39" t="str">
        <f>IF(E31="", "", 369917)</f>
        <v/>
      </c>
      <c r="G31" s="39" t="str">
        <f t="shared" si="5"/>
        <v/>
      </c>
      <c r="H31" s="40" t="str">
        <f t="shared" si="1"/>
        <v/>
      </c>
      <c r="I31" s="40" t="str">
        <f t="shared" si="6"/>
        <v/>
      </c>
      <c r="J31" s="40" t="str">
        <f t="shared" si="2"/>
        <v/>
      </c>
      <c r="K31" s="41"/>
      <c r="L31" s="8"/>
      <c r="M31" s="70" t="str">
        <f t="shared" si="3"/>
        <v>Q4</v>
      </c>
      <c r="N31" s="71" t="e">
        <f t="shared" si="4"/>
        <v>#N/A</v>
      </c>
      <c r="O31" s="72" t="e">
        <f>IF(OR(I31="",I31=0),NA(),AVERAGE(I$28:I31))</f>
        <v>#N/A</v>
      </c>
      <c r="P31" s="66">
        <v>10</v>
      </c>
      <c r="Q31" s="66">
        <v>12</v>
      </c>
      <c r="R31" s="66"/>
      <c r="S31" s="66"/>
    </row>
    <row r="32" spans="1:19" x14ac:dyDescent="0.25">
      <c r="A32" s="63" t="s">
        <v>37</v>
      </c>
      <c r="B32" s="64">
        <f>SUM(B28:B31)</f>
        <v>0</v>
      </c>
      <c r="C32" s="64">
        <f t="shared" ref="C32:G32" si="7">SUM(C28:C31)</f>
        <v>0</v>
      </c>
      <c r="D32" s="64">
        <f>SUM(D29:D31)</f>
        <v>0</v>
      </c>
      <c r="E32" s="64">
        <f t="shared" si="7"/>
        <v>0</v>
      </c>
      <c r="F32" s="64">
        <f t="shared" si="7"/>
        <v>0</v>
      </c>
      <c r="G32" s="64">
        <f t="shared" si="7"/>
        <v>0</v>
      </c>
      <c r="H32" s="65" t="str">
        <f>IFERROR(AVERAGE(H28:H31),"")</f>
        <v/>
      </c>
      <c r="I32" s="65" t="str">
        <f t="shared" ref="I32:K32" si="8">IFERROR(AVERAGE(I28:I31),"")</f>
        <v/>
      </c>
      <c r="J32" s="65" t="str">
        <f t="shared" si="8"/>
        <v/>
      </c>
      <c r="K32" s="65" t="str">
        <f t="shared" si="8"/>
        <v/>
      </c>
      <c r="L32" s="8"/>
      <c r="M32" s="70"/>
      <c r="N32" s="70"/>
      <c r="O32" s="70"/>
      <c r="P32" s="66"/>
      <c r="Q32" s="66"/>
      <c r="R32" s="66"/>
      <c r="S32" s="66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8"/>
      <c r="M33" s="66"/>
      <c r="N33" s="66"/>
      <c r="O33" s="66"/>
      <c r="P33" s="66"/>
      <c r="Q33" s="66"/>
      <c r="R33" s="66"/>
      <c r="S33" s="66"/>
    </row>
    <row r="34" spans="1:19" x14ac:dyDescent="0.25">
      <c r="A34" s="86" t="s">
        <v>38</v>
      </c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"/>
      <c r="M34" s="66"/>
      <c r="N34" s="66"/>
      <c r="O34" s="66"/>
      <c r="P34" s="66"/>
      <c r="Q34" s="66"/>
      <c r="R34" s="66"/>
      <c r="S34" s="66"/>
    </row>
    <row r="35" spans="1:19" x14ac:dyDescent="0.25">
      <c r="A35" s="60" t="s">
        <v>39</v>
      </c>
      <c r="B35" s="60" t="s">
        <v>40</v>
      </c>
      <c r="C35" s="60" t="s">
        <v>41</v>
      </c>
      <c r="D35" s="60" t="s">
        <v>42</v>
      </c>
      <c r="E35" s="60" t="s">
        <v>43</v>
      </c>
      <c r="F35" s="60" t="s">
        <v>44</v>
      </c>
      <c r="G35" s="73" t="s">
        <v>45</v>
      </c>
      <c r="H35" s="73"/>
      <c r="I35" s="73"/>
      <c r="J35" s="73"/>
      <c r="K35" s="73"/>
      <c r="L35" s="8"/>
      <c r="M35" s="66"/>
      <c r="N35" s="66"/>
      <c r="O35" s="66"/>
      <c r="P35" s="66"/>
      <c r="Q35" s="66"/>
      <c r="R35" s="66"/>
      <c r="S35" s="66"/>
    </row>
    <row r="36" spans="1:19" x14ac:dyDescent="0.25">
      <c r="A36" s="42"/>
      <c r="B36" s="43"/>
      <c r="C36" s="44"/>
      <c r="D36" s="44"/>
      <c r="E36" s="45"/>
      <c r="F36" s="45"/>
      <c r="G36" s="87" t="s">
        <v>46</v>
      </c>
      <c r="H36" s="87"/>
      <c r="I36" s="87"/>
      <c r="J36" s="87"/>
      <c r="K36" s="87"/>
      <c r="L36" s="8"/>
      <c r="M36" s="66"/>
      <c r="N36" s="66"/>
      <c r="O36" s="66"/>
      <c r="P36" s="66"/>
      <c r="Q36" s="66"/>
      <c r="R36" s="66"/>
      <c r="S36" s="66"/>
    </row>
    <row r="37" spans="1:19" x14ac:dyDescent="0.25">
      <c r="A37" s="46"/>
      <c r="B37" s="46"/>
      <c r="C37" s="47"/>
      <c r="D37" s="48"/>
      <c r="E37" s="49"/>
      <c r="F37" s="50"/>
      <c r="G37" s="50"/>
      <c r="H37" s="50"/>
      <c r="I37" s="50"/>
      <c r="J37" s="50"/>
      <c r="K37" s="50"/>
      <c r="L37" s="8"/>
      <c r="M37" s="66"/>
      <c r="N37" s="66"/>
      <c r="O37" s="66"/>
      <c r="P37" s="66"/>
      <c r="Q37" s="66"/>
      <c r="R37" s="66"/>
      <c r="S37" s="66"/>
    </row>
    <row r="38" spans="1:19" x14ac:dyDescent="0.25">
      <c r="A38" s="86" t="s">
        <v>47</v>
      </c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"/>
      <c r="M38" s="66"/>
      <c r="N38" s="66"/>
      <c r="O38" s="66"/>
      <c r="P38" s="66"/>
      <c r="Q38" s="66"/>
      <c r="R38" s="66"/>
      <c r="S38" s="66"/>
    </row>
    <row r="39" spans="1:19" x14ac:dyDescent="0.25">
      <c r="A39" s="60" t="s">
        <v>39</v>
      </c>
      <c r="B39" s="60" t="s">
        <v>40</v>
      </c>
      <c r="C39" s="60" t="s">
        <v>48</v>
      </c>
      <c r="D39" s="60" t="s">
        <v>49</v>
      </c>
      <c r="E39" s="73" t="s">
        <v>44</v>
      </c>
      <c r="F39" s="73"/>
      <c r="G39" s="73"/>
      <c r="H39" s="73"/>
      <c r="I39" s="73"/>
      <c r="J39" s="73"/>
      <c r="K39" s="73"/>
      <c r="L39" s="8"/>
      <c r="M39" s="66"/>
      <c r="N39" s="66"/>
      <c r="O39" s="66"/>
      <c r="P39" s="66"/>
      <c r="Q39" s="66"/>
      <c r="R39" s="66"/>
      <c r="S39" s="66"/>
    </row>
    <row r="40" spans="1:19" x14ac:dyDescent="0.25">
      <c r="A40" s="42"/>
      <c r="B40" s="43"/>
      <c r="C40" s="44"/>
      <c r="D40" s="44"/>
      <c r="E40" s="74" t="s">
        <v>46</v>
      </c>
      <c r="F40" s="75"/>
      <c r="G40" s="75"/>
      <c r="H40" s="75"/>
      <c r="I40" s="75"/>
      <c r="J40" s="75"/>
      <c r="K40" s="76"/>
      <c r="L40" s="8"/>
      <c r="M40" s="66"/>
      <c r="N40" s="66"/>
      <c r="O40" s="66"/>
      <c r="P40" s="66"/>
      <c r="Q40" s="66"/>
      <c r="R40" s="66"/>
      <c r="S40" s="66"/>
    </row>
    <row r="41" spans="1:19" x14ac:dyDescent="0.25">
      <c r="A41" s="46"/>
      <c r="B41" s="46"/>
      <c r="C41" s="47"/>
      <c r="D41" s="48"/>
      <c r="E41" s="49"/>
      <c r="F41" s="50"/>
      <c r="G41" s="50"/>
      <c r="H41" s="50"/>
      <c r="I41" s="50"/>
      <c r="J41" s="50"/>
      <c r="K41" s="50"/>
      <c r="L41" s="8"/>
      <c r="M41" s="66"/>
      <c r="N41" s="66"/>
      <c r="O41" s="66"/>
      <c r="P41" s="66"/>
      <c r="Q41" s="66"/>
      <c r="R41" s="66"/>
      <c r="S41" s="66"/>
    </row>
    <row r="42" spans="1:19" x14ac:dyDescent="0.25">
      <c r="A42" s="58" t="s">
        <v>50</v>
      </c>
      <c r="B42" s="57"/>
      <c r="C42" s="57"/>
      <c r="D42" s="57"/>
      <c r="E42" s="57"/>
      <c r="F42" s="57"/>
      <c r="G42" s="57"/>
      <c r="H42" s="57"/>
      <c r="I42" s="57"/>
      <c r="J42" s="57"/>
      <c r="K42" s="59"/>
      <c r="L42" s="8"/>
      <c r="M42" s="66"/>
      <c r="N42" s="66"/>
      <c r="O42" s="66"/>
      <c r="P42" s="66"/>
      <c r="Q42" s="66"/>
      <c r="R42" s="66"/>
      <c r="S42" s="66"/>
    </row>
    <row r="43" spans="1:19" x14ac:dyDescent="0.25">
      <c r="A43" s="62" t="s">
        <v>51</v>
      </c>
      <c r="B43" s="62" t="s">
        <v>40</v>
      </c>
      <c r="C43" s="62" t="s">
        <v>52</v>
      </c>
      <c r="D43" s="62" t="s">
        <v>53</v>
      </c>
      <c r="E43" s="77" t="s">
        <v>54</v>
      </c>
      <c r="F43" s="78"/>
      <c r="G43" s="78"/>
      <c r="H43" s="78"/>
      <c r="I43" s="78"/>
      <c r="J43" s="78"/>
      <c r="K43" s="79"/>
      <c r="L43" s="8"/>
      <c r="M43" s="66"/>
      <c r="N43" s="66"/>
      <c r="O43" s="66"/>
      <c r="P43" s="66"/>
      <c r="Q43" s="66"/>
      <c r="R43" s="66"/>
      <c r="S43" s="66"/>
    </row>
    <row r="44" spans="1:19" x14ac:dyDescent="0.25">
      <c r="A44" s="51"/>
      <c r="B44" s="42"/>
      <c r="C44" s="44"/>
      <c r="D44" s="52"/>
      <c r="E44" s="74" t="s">
        <v>55</v>
      </c>
      <c r="F44" s="75"/>
      <c r="G44" s="75"/>
      <c r="H44" s="75"/>
      <c r="I44" s="75"/>
      <c r="J44" s="75"/>
      <c r="K44" s="76"/>
      <c r="L44" s="8"/>
      <c r="M44" s="66"/>
      <c r="N44" s="66"/>
      <c r="O44" s="66"/>
      <c r="P44" s="66"/>
      <c r="Q44" s="66"/>
      <c r="R44" s="66"/>
      <c r="S44" s="66"/>
    </row>
    <row r="45" spans="1:19" x14ac:dyDescent="0.25">
      <c r="A45" s="53" t="s">
        <v>56</v>
      </c>
      <c r="B45" s="54"/>
      <c r="C45" s="54"/>
      <c r="D45" s="54"/>
      <c r="E45" s="10"/>
      <c r="F45" s="10"/>
      <c r="G45" s="10"/>
      <c r="H45" s="10"/>
      <c r="I45" s="10"/>
      <c r="J45" s="10"/>
      <c r="K45" s="10"/>
      <c r="L45" s="8"/>
      <c r="M45" s="66"/>
      <c r="N45" s="66"/>
      <c r="O45" s="66"/>
      <c r="P45" s="66"/>
      <c r="Q45" s="66"/>
      <c r="R45" s="66"/>
      <c r="S45" s="66"/>
    </row>
    <row r="46" spans="1:19" x14ac:dyDescent="0.25">
      <c r="A46" s="54"/>
      <c r="B46" s="54"/>
      <c r="C46" s="54"/>
      <c r="D46" s="54"/>
      <c r="E46" s="10"/>
      <c r="F46" s="10"/>
      <c r="G46" s="10"/>
      <c r="H46" s="10"/>
      <c r="I46" s="10"/>
      <c r="J46" s="10"/>
      <c r="K46" s="10"/>
      <c r="L46" s="8"/>
      <c r="M46" s="66"/>
      <c r="N46" s="66"/>
      <c r="O46" s="66"/>
      <c r="P46" s="66"/>
      <c r="Q46" s="66"/>
      <c r="R46" s="66"/>
      <c r="S46" s="66"/>
    </row>
    <row r="47" spans="1:19" x14ac:dyDescent="0.25">
      <c r="A47" s="54"/>
      <c r="B47" s="54"/>
      <c r="C47" s="54"/>
      <c r="D47" s="54"/>
      <c r="E47" s="10"/>
      <c r="F47" s="10"/>
      <c r="G47" s="10"/>
      <c r="H47" s="10"/>
      <c r="I47" s="10"/>
      <c r="J47" s="10"/>
      <c r="K47" s="10"/>
      <c r="L47" s="8"/>
      <c r="M47" s="66"/>
      <c r="N47" s="66"/>
      <c r="O47" s="66"/>
      <c r="P47" s="66"/>
      <c r="Q47" s="66"/>
      <c r="R47" s="66"/>
      <c r="S47" s="66"/>
    </row>
    <row r="48" spans="1:19" x14ac:dyDescent="0.25">
      <c r="A48" s="54"/>
      <c r="B48" s="54"/>
      <c r="C48" s="54"/>
      <c r="D48" s="54"/>
      <c r="E48" s="10"/>
      <c r="F48" s="10"/>
      <c r="G48" s="10"/>
      <c r="H48" s="10"/>
      <c r="I48" s="10"/>
      <c r="J48" s="10"/>
      <c r="K48" s="10"/>
      <c r="L48" s="8"/>
      <c r="M48" s="66"/>
      <c r="N48" s="66"/>
      <c r="O48" s="66"/>
      <c r="P48" s="66"/>
      <c r="Q48" s="66"/>
      <c r="R48" s="66"/>
      <c r="S48" s="66"/>
    </row>
    <row r="49" spans="1:19" x14ac:dyDescent="0.25">
      <c r="A49" s="54"/>
      <c r="B49" s="54"/>
      <c r="C49" s="54"/>
      <c r="D49" s="54"/>
      <c r="E49" s="10"/>
      <c r="F49" s="10"/>
      <c r="G49" s="10"/>
      <c r="H49" s="10"/>
      <c r="I49" s="10"/>
      <c r="J49" s="10"/>
      <c r="K49" s="10"/>
      <c r="L49" s="8"/>
      <c r="M49" s="66"/>
      <c r="N49" s="66"/>
      <c r="O49" s="66"/>
      <c r="P49" s="66"/>
      <c r="Q49" s="66"/>
      <c r="R49" s="66"/>
      <c r="S49" s="66"/>
    </row>
    <row r="50" spans="1:19" x14ac:dyDescent="0.25">
      <c r="A50" s="54"/>
      <c r="B50" s="54"/>
      <c r="C50" s="54"/>
      <c r="D50" s="54"/>
      <c r="E50" s="10"/>
      <c r="F50" s="10"/>
      <c r="G50" s="10"/>
      <c r="H50" s="10"/>
      <c r="I50" s="10"/>
      <c r="J50" s="10"/>
      <c r="K50" s="10"/>
      <c r="L50" s="8"/>
      <c r="M50" s="66"/>
      <c r="N50" s="66"/>
      <c r="O50" s="66"/>
      <c r="P50" s="66"/>
      <c r="Q50" s="66"/>
      <c r="R50" s="66"/>
      <c r="S50" s="66"/>
    </row>
    <row r="51" spans="1:19" x14ac:dyDescent="0.25">
      <c r="A51" s="54"/>
      <c r="B51" s="54"/>
      <c r="C51" s="54"/>
      <c r="D51" s="54"/>
      <c r="E51" s="10"/>
      <c r="F51" s="10"/>
      <c r="G51" s="10"/>
      <c r="H51" s="10"/>
      <c r="I51" s="10"/>
      <c r="J51" s="10"/>
      <c r="K51" s="10"/>
      <c r="L51" s="8"/>
      <c r="M51" s="66"/>
      <c r="N51" s="66"/>
      <c r="O51" s="66"/>
      <c r="P51" s="66"/>
      <c r="Q51" s="66"/>
      <c r="R51" s="66"/>
      <c r="S51" s="66"/>
    </row>
    <row r="52" spans="1:19" x14ac:dyDescent="0.25">
      <c r="A52" s="54"/>
      <c r="B52" s="54"/>
      <c r="C52" s="54"/>
      <c r="D52" s="54"/>
      <c r="E52" s="10"/>
      <c r="F52" s="10"/>
      <c r="G52" s="10"/>
      <c r="H52" s="10"/>
      <c r="I52" s="10"/>
      <c r="J52" s="10"/>
      <c r="K52" s="10"/>
      <c r="L52" s="8"/>
      <c r="M52" s="66"/>
      <c r="N52" s="66"/>
      <c r="O52" s="66"/>
      <c r="P52" s="66"/>
      <c r="Q52" s="66"/>
      <c r="R52" s="66"/>
      <c r="S52" s="66"/>
    </row>
    <row r="53" spans="1:19" x14ac:dyDescent="0.25">
      <c r="A53" s="54"/>
      <c r="B53" s="54"/>
      <c r="C53" s="54"/>
      <c r="D53" s="54"/>
      <c r="E53" s="10"/>
      <c r="F53" s="10"/>
      <c r="G53" s="10"/>
      <c r="H53" s="10"/>
      <c r="I53" s="10"/>
      <c r="J53" s="10"/>
      <c r="K53" s="10"/>
      <c r="L53" s="8"/>
      <c r="M53" s="66"/>
      <c r="N53" s="66"/>
      <c r="O53" s="66"/>
      <c r="P53" s="66"/>
      <c r="Q53" s="66"/>
      <c r="R53" s="66"/>
      <c r="S53" s="66"/>
    </row>
    <row r="54" spans="1:19" x14ac:dyDescent="0.25">
      <c r="A54" s="54"/>
      <c r="B54" s="54"/>
      <c r="C54" s="54"/>
      <c r="D54" s="54"/>
      <c r="E54" s="10"/>
      <c r="F54" s="10"/>
      <c r="G54" s="10"/>
      <c r="H54" s="10"/>
      <c r="I54" s="10"/>
      <c r="J54" s="10"/>
      <c r="K54" s="10"/>
      <c r="L54" s="8"/>
      <c r="M54" s="66"/>
      <c r="N54" s="66"/>
      <c r="O54" s="66"/>
      <c r="P54" s="66"/>
      <c r="Q54" s="66"/>
      <c r="R54" s="66"/>
      <c r="S54" s="66"/>
    </row>
    <row r="55" spans="1:19" x14ac:dyDescent="0.25">
      <c r="A55" s="55"/>
      <c r="B55" s="55"/>
      <c r="C55" s="55"/>
      <c r="D55" s="55"/>
      <c r="E55" s="56"/>
      <c r="F55" s="56"/>
      <c r="G55" s="56"/>
      <c r="H55" s="56"/>
      <c r="I55" s="56"/>
      <c r="J55" s="56"/>
      <c r="K55" s="56"/>
      <c r="L55" s="8"/>
      <c r="M55" s="66"/>
      <c r="N55" s="66"/>
      <c r="O55" s="66"/>
      <c r="P55" s="66"/>
      <c r="Q55" s="66"/>
      <c r="R55" s="66"/>
      <c r="S55" s="66"/>
    </row>
    <row r="56" spans="1:19" x14ac:dyDescent="0.25">
      <c r="A56" s="55"/>
      <c r="B56" s="55"/>
      <c r="C56" s="55"/>
      <c r="D56" s="55"/>
      <c r="E56" s="56"/>
      <c r="F56" s="56"/>
      <c r="G56" s="56"/>
      <c r="H56" s="56"/>
      <c r="I56" s="56"/>
      <c r="J56" s="56"/>
      <c r="K56" s="56"/>
      <c r="L56" s="8"/>
      <c r="M56" s="66"/>
      <c r="N56" s="66"/>
      <c r="O56" s="66"/>
      <c r="P56" s="66"/>
      <c r="Q56" s="66"/>
      <c r="R56" s="66"/>
      <c r="S56" s="66"/>
    </row>
    <row r="57" spans="1:19" x14ac:dyDescent="0.25">
      <c r="A57" s="55"/>
      <c r="B57" s="55"/>
      <c r="C57" s="55"/>
      <c r="D57" s="55"/>
      <c r="E57" s="56"/>
      <c r="F57" s="56"/>
      <c r="G57" s="56"/>
      <c r="H57" s="56"/>
      <c r="I57" s="56"/>
      <c r="J57" s="56"/>
      <c r="K57" s="56"/>
      <c r="L57" s="8"/>
      <c r="M57" s="66"/>
      <c r="N57" s="66"/>
      <c r="O57" s="66"/>
      <c r="P57" s="66"/>
      <c r="Q57" s="66"/>
      <c r="R57" s="66"/>
      <c r="S57" s="66"/>
    </row>
    <row r="58" spans="1:19" x14ac:dyDescent="0.25">
      <c r="A58" s="55"/>
      <c r="B58" s="55"/>
      <c r="C58" s="55"/>
      <c r="D58" s="55"/>
      <c r="E58" s="56"/>
      <c r="F58" s="56"/>
      <c r="G58" s="56"/>
      <c r="H58" s="56"/>
      <c r="I58" s="56"/>
      <c r="J58" s="56"/>
      <c r="K58" s="56"/>
      <c r="L58" s="8"/>
      <c r="M58" s="66"/>
      <c r="N58" s="66"/>
      <c r="O58" s="66"/>
      <c r="P58" s="66"/>
      <c r="Q58" s="66"/>
      <c r="R58" s="66"/>
      <c r="S58" s="66"/>
    </row>
    <row r="59" spans="1:19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66"/>
      <c r="N59" s="66"/>
      <c r="O59" s="66"/>
      <c r="P59" s="66"/>
      <c r="Q59" s="66"/>
      <c r="R59" s="66"/>
      <c r="S59" s="66"/>
    </row>
    <row r="60" spans="1:19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66"/>
      <c r="N60" s="66"/>
      <c r="O60" s="66"/>
      <c r="P60" s="66"/>
      <c r="Q60" s="66"/>
      <c r="R60" s="66"/>
      <c r="S60" s="66"/>
    </row>
    <row r="61" spans="1:19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66"/>
      <c r="N61" s="66"/>
      <c r="O61" s="66"/>
      <c r="P61" s="66"/>
      <c r="Q61" s="66"/>
      <c r="R61" s="66"/>
      <c r="S61" s="66"/>
    </row>
  </sheetData>
  <mergeCells count="16">
    <mergeCell ref="B20:F20"/>
    <mergeCell ref="A5:C5"/>
    <mergeCell ref="I5:K5"/>
    <mergeCell ref="I6:K6"/>
    <mergeCell ref="I7:K7"/>
    <mergeCell ref="A14:F14"/>
    <mergeCell ref="E39:K39"/>
    <mergeCell ref="E40:K40"/>
    <mergeCell ref="E43:K43"/>
    <mergeCell ref="E44:K44"/>
    <mergeCell ref="A22:H22"/>
    <mergeCell ref="A26:K26"/>
    <mergeCell ref="A34:K34"/>
    <mergeCell ref="G35:K35"/>
    <mergeCell ref="G36:K36"/>
    <mergeCell ref="A38:K38"/>
  </mergeCells>
  <conditionalFormatting sqref="B16:F19">
    <cfRule type="dataBar" priority="3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{1AEB1F6D-B916-464C-914E-FA102D766BB4}</x14:id>
        </ext>
      </extLst>
    </cfRule>
    <cfRule type="dataBar" priority="4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{0B915976-AFA5-43A1-94BD-E51B0BBC00BD}</x14:id>
        </ext>
      </extLst>
    </cfRule>
  </conditionalFormatting>
  <conditionalFormatting sqref="H28:K28 H29:J31">
    <cfRule type="dataBar" priority="5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{74E92A5C-B97F-48A3-B89D-D68AE7A56879}</x14:id>
        </ext>
      </extLst>
    </cfRule>
    <cfRule type="dataBar" priority="6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{D0016F5C-53FA-4042-962A-776B175A9743}</x14:id>
        </ext>
      </extLst>
    </cfRule>
  </conditionalFormatting>
  <conditionalFormatting sqref="K29">
    <cfRule type="dataBar" priority="1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{EA9106FF-7C74-48C1-A16D-74E0F00E0307}</x14:id>
        </ext>
      </extLst>
    </cfRule>
    <cfRule type="dataBar" priority="2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{30B70307-157B-4C50-915B-C66FDE7A4C0D}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B1F6D-B916-464C-914E-FA102D766BB4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0B915976-AFA5-43A1-94BD-E51B0BBC00BD}">
            <x14:dataBar minLength="0" maxLength="100" gradient="0" negativeBarColorSameAsPositive="1" axisPosition="none">
              <x14:cfvo type="min"/>
              <x14:cfvo type="max"/>
            </x14:dataBar>
          </x14:cfRule>
          <xm:sqref>B16:F19</xm:sqref>
        </x14:conditionalFormatting>
        <x14:conditionalFormatting xmlns:xm="http://schemas.microsoft.com/office/excel/2006/main">
          <x14:cfRule type="dataBar" id="{74E92A5C-B97F-48A3-B89D-D68AE7A56879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D0016F5C-53FA-4042-962A-776B175A9743}">
            <x14:dataBar minLength="0" maxLength="100" gradient="0" negativeBarColorSameAsPositive="1" axisPosition="none">
              <x14:cfvo type="min"/>
              <x14:cfvo type="max"/>
            </x14:dataBar>
          </x14:cfRule>
          <xm:sqref>H28:K28 H29:J31</xm:sqref>
        </x14:conditionalFormatting>
        <x14:conditionalFormatting xmlns:xm="http://schemas.microsoft.com/office/excel/2006/main">
          <x14:cfRule type="dataBar" id="{EA9106FF-7C74-48C1-A16D-74E0F00E0307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30B70307-157B-4C50-915B-C66FDE7A4C0D}">
            <x14:dataBar minLength="0" maxLength="100" gradient="0" negativeBarColorSameAsPositive="1" axisPosition="none">
              <x14:cfvo type="min"/>
              <x14:cfvo type="max"/>
            </x14:dataBar>
          </x14:cfRule>
          <xm:sqref>K29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E1385-F21D-4D43-A298-A880EBA70091}">
  <sheetPr codeName="Sheet8"/>
  <dimension ref="A1:AA61"/>
  <sheetViews>
    <sheetView topLeftCell="A20" zoomScale="130" zoomScaleNormal="130" workbookViewId="0">
      <selection activeCell="F30" sqref="F30"/>
    </sheetView>
  </sheetViews>
  <sheetFormatPr defaultRowHeight="15" x14ac:dyDescent="0.25"/>
  <cols>
    <col min="1" max="1" width="16.7109375" style="5" customWidth="1"/>
    <col min="2" max="2" width="19.5703125" style="5" customWidth="1"/>
    <col min="3" max="3" width="15.140625" style="5" customWidth="1"/>
    <col min="4" max="4" width="13.28515625" style="5" customWidth="1"/>
    <col min="5" max="5" width="12.5703125" style="5" customWidth="1"/>
    <col min="6" max="6" width="21.42578125" style="5" customWidth="1"/>
    <col min="7" max="7" width="38.42578125" style="5" customWidth="1"/>
    <col min="8" max="12" width="9.140625" style="5"/>
    <col min="28" max="16384" width="9.140625" style="5"/>
  </cols>
  <sheetData>
    <row r="1" spans="1:19" ht="15.75" x14ac:dyDescent="0.25">
      <c r="A1" s="3"/>
      <c r="B1" s="4"/>
      <c r="C1" s="4"/>
      <c r="D1" s="3"/>
      <c r="E1" s="2"/>
      <c r="F1" s="2" t="s">
        <v>71</v>
      </c>
      <c r="G1" s="4"/>
      <c r="H1" s="4"/>
      <c r="I1" s="4"/>
      <c r="J1" s="4"/>
      <c r="K1" s="4"/>
    </row>
    <row r="2" spans="1:19" ht="15.75" x14ac:dyDescent="0.25">
      <c r="A2" s="4"/>
      <c r="B2" s="4"/>
      <c r="C2" s="4"/>
      <c r="D2" s="3"/>
      <c r="E2" s="6"/>
      <c r="F2" s="2" t="s">
        <v>72</v>
      </c>
      <c r="G2" s="3"/>
      <c r="H2" s="3"/>
      <c r="I2" s="4"/>
      <c r="J2" s="4"/>
      <c r="K2" s="4"/>
    </row>
    <row r="3" spans="1:19" x14ac:dyDescent="0.25">
      <c r="A3" s="8"/>
      <c r="B3" s="8"/>
      <c r="C3" s="9"/>
      <c r="D3" s="10"/>
      <c r="E3" s="11"/>
      <c r="F3" s="2" t="s">
        <v>62</v>
      </c>
      <c r="G3" s="9"/>
      <c r="H3" s="9"/>
      <c r="I3" s="9"/>
      <c r="J3" s="9"/>
      <c r="K3" s="9"/>
    </row>
    <row r="4" spans="1:19" ht="33" customHeight="1" x14ac:dyDescent="0.25">
      <c r="A4" s="8"/>
      <c r="B4" s="8"/>
      <c r="C4" s="8"/>
      <c r="D4" s="10"/>
      <c r="E4" s="12"/>
      <c r="F4" s="12" t="str">
        <f ca="1">IF(COUNTA(B28:B31)=0, "Reporting Period: " &amp; YEAR(TODAY()),
    IF(COUNTA(B28:B31)=1, "Reporting Period: January - March " &amp; YEAR(TODAY()),
    IF(COUNTA(B28:B31)=2, "Reporting Period: April - June " &amp; YEAR(TODAY()),
    IF(COUNTA(B28:B31)=3, "Reporting Period: July - September " &amp; YEAR(TODAY()),
    "Reporting Period: October - December " &amp; YEAR(TODAY())))))</f>
        <v>Reporting Period: 2024</v>
      </c>
      <c r="G4" s="13"/>
      <c r="H4" s="13"/>
      <c r="I4" s="13"/>
      <c r="J4" s="13"/>
      <c r="K4" s="13"/>
    </row>
    <row r="5" spans="1:19" x14ac:dyDescent="0.25">
      <c r="A5" s="80" t="s">
        <v>1</v>
      </c>
      <c r="B5" s="81"/>
      <c r="C5" s="82"/>
      <c r="D5" s="14"/>
      <c r="E5" s="14"/>
      <c r="F5" s="8"/>
      <c r="G5" s="15"/>
      <c r="H5" s="15"/>
      <c r="I5" s="88"/>
      <c r="J5" s="88"/>
      <c r="K5" s="88"/>
    </row>
    <row r="6" spans="1:19" x14ac:dyDescent="0.25">
      <c r="A6" s="16"/>
      <c r="B6" s="17" t="s">
        <v>2</v>
      </c>
      <c r="C6" s="18">
        <v>7.7</v>
      </c>
      <c r="D6" s="19"/>
      <c r="E6" s="19"/>
      <c r="F6" s="8"/>
      <c r="G6" s="15"/>
      <c r="H6" s="15"/>
      <c r="I6" s="88"/>
      <c r="J6" s="88"/>
      <c r="K6" s="88"/>
    </row>
    <row r="7" spans="1:19" x14ac:dyDescent="0.25">
      <c r="A7" s="16"/>
      <c r="B7" s="17" t="s">
        <v>3</v>
      </c>
      <c r="C7" s="18">
        <v>5</v>
      </c>
      <c r="D7" s="19"/>
      <c r="E7" s="19"/>
      <c r="F7" s="8"/>
      <c r="G7" s="15"/>
      <c r="H7" s="15"/>
      <c r="I7" s="88"/>
      <c r="J7" s="88"/>
      <c r="K7" s="88"/>
    </row>
    <row r="8" spans="1:19" x14ac:dyDescent="0.25">
      <c r="A8" s="16"/>
      <c r="B8" s="17" t="s">
        <v>4</v>
      </c>
      <c r="C8" s="20">
        <v>2</v>
      </c>
      <c r="D8" s="21"/>
      <c r="E8" s="21"/>
      <c r="F8" s="8"/>
      <c r="G8" s="15"/>
      <c r="H8" s="8"/>
      <c r="I8" s="8"/>
      <c r="J8" s="8"/>
      <c r="K8" s="8"/>
    </row>
    <row r="9" spans="1:19" x14ac:dyDescent="0.25">
      <c r="A9" s="16"/>
      <c r="B9" s="17" t="s">
        <v>5</v>
      </c>
      <c r="C9" s="22"/>
      <c r="D9" s="21"/>
      <c r="E9" s="21"/>
      <c r="F9" s="8"/>
      <c r="G9" s="15"/>
      <c r="H9" s="8"/>
      <c r="I9" s="8"/>
      <c r="J9" s="8"/>
      <c r="K9" s="8"/>
    </row>
    <row r="10" spans="1:19" x14ac:dyDescent="0.25">
      <c r="A10" s="16"/>
      <c r="B10" s="17" t="s">
        <v>6</v>
      </c>
      <c r="C10" s="20"/>
      <c r="D10" s="21"/>
      <c r="E10" s="21"/>
      <c r="F10" s="8"/>
      <c r="G10" s="15"/>
      <c r="H10" s="8"/>
      <c r="I10" s="8"/>
      <c r="J10" s="8"/>
      <c r="K10" s="8"/>
    </row>
    <row r="11" spans="1:19" x14ac:dyDescent="0.25">
      <c r="A11" s="16"/>
      <c r="B11" s="17" t="s">
        <v>7</v>
      </c>
      <c r="C11" s="20"/>
      <c r="D11" s="21"/>
      <c r="E11" s="21"/>
      <c r="F11" s="8"/>
      <c r="G11" s="15"/>
      <c r="H11" s="8"/>
      <c r="I11" s="8"/>
      <c r="J11" s="8"/>
      <c r="K11" s="8"/>
    </row>
    <row r="12" spans="1:19" x14ac:dyDescent="0.25">
      <c r="A12" s="23"/>
      <c r="B12" s="23"/>
      <c r="C12" s="24"/>
      <c r="D12" s="21"/>
      <c r="E12" s="21"/>
      <c r="F12" s="8"/>
      <c r="G12" s="8"/>
      <c r="H12" s="8"/>
      <c r="I12" s="8"/>
      <c r="J12" s="8"/>
      <c r="K12" s="8"/>
    </row>
    <row r="13" spans="1:19" x14ac:dyDescent="0.25">
      <c r="A13" s="25"/>
      <c r="B13" s="25"/>
      <c r="C13" s="26"/>
      <c r="D13" s="21"/>
      <c r="E13" s="21"/>
      <c r="F13" s="8"/>
      <c r="G13" s="8"/>
      <c r="H13" s="8"/>
      <c r="I13" s="8"/>
      <c r="J13" s="8"/>
      <c r="K13" s="8"/>
    </row>
    <row r="14" spans="1:19" x14ac:dyDescent="0.25">
      <c r="A14" s="89" t="s">
        <v>8</v>
      </c>
      <c r="B14" s="89"/>
      <c r="C14" s="89"/>
      <c r="D14" s="89"/>
      <c r="E14" s="89"/>
      <c r="F14" s="89"/>
      <c r="G14" s="8"/>
      <c r="H14" s="8"/>
      <c r="I14" s="8"/>
      <c r="J14" s="8"/>
      <c r="K14" s="8"/>
      <c r="L14" s="8"/>
      <c r="M14" s="66"/>
      <c r="N14" s="66"/>
      <c r="O14" s="66"/>
      <c r="P14" s="66"/>
      <c r="Q14" s="66"/>
      <c r="R14" s="66"/>
      <c r="S14" s="66"/>
    </row>
    <row r="15" spans="1:19" ht="16.5" x14ac:dyDescent="0.25">
      <c r="A15" s="60" t="s">
        <v>9</v>
      </c>
      <c r="B15" s="60" t="s">
        <v>10</v>
      </c>
      <c r="C15" s="60" t="s">
        <v>11</v>
      </c>
      <c r="D15" s="60" t="s">
        <v>12</v>
      </c>
      <c r="E15" s="60" t="s">
        <v>13</v>
      </c>
      <c r="F15" s="60" t="s">
        <v>14</v>
      </c>
      <c r="G15" s="8"/>
      <c r="H15" s="8"/>
      <c r="I15" s="8"/>
      <c r="J15" s="8"/>
      <c r="K15" s="8"/>
      <c r="L15" s="8"/>
      <c r="M15" s="66"/>
      <c r="N15" s="67"/>
      <c r="O15" s="68"/>
      <c r="P15" s="66"/>
      <c r="Q15" s="66"/>
      <c r="R15" s="66"/>
      <c r="S15" s="66"/>
    </row>
    <row r="16" spans="1:19" x14ac:dyDescent="0.25">
      <c r="A16" s="29" t="s">
        <v>15</v>
      </c>
      <c r="B16" s="30"/>
      <c r="C16" s="30"/>
      <c r="D16" s="30"/>
      <c r="E16" s="30"/>
      <c r="F16" s="30"/>
      <c r="G16" s="8"/>
      <c r="H16" s="8"/>
      <c r="I16" s="8"/>
      <c r="J16" s="8"/>
      <c r="K16" s="8"/>
      <c r="L16" s="8"/>
      <c r="M16" s="66"/>
      <c r="N16" s="67"/>
      <c r="O16" s="68"/>
      <c r="P16" s="66"/>
      <c r="Q16" s="66"/>
      <c r="R16" s="66"/>
      <c r="S16" s="66"/>
    </row>
    <row r="17" spans="1:19" x14ac:dyDescent="0.25">
      <c r="A17" s="29" t="s">
        <v>16</v>
      </c>
      <c r="B17" s="30"/>
      <c r="C17" s="30"/>
      <c r="D17" s="30"/>
      <c r="E17" s="30"/>
      <c r="F17" s="30"/>
      <c r="G17" s="8"/>
      <c r="H17" s="8"/>
      <c r="I17" s="8"/>
      <c r="J17" s="8"/>
      <c r="K17" s="8"/>
      <c r="L17" s="8"/>
      <c r="M17" s="66"/>
      <c r="N17" s="67"/>
      <c r="O17" s="68"/>
      <c r="P17" s="66"/>
      <c r="Q17" s="66"/>
      <c r="R17" s="66"/>
      <c r="S17" s="66"/>
    </row>
    <row r="18" spans="1:19" x14ac:dyDescent="0.25">
      <c r="A18" s="29" t="s">
        <v>17</v>
      </c>
      <c r="B18" s="30"/>
      <c r="C18" s="30"/>
      <c r="D18" s="30"/>
      <c r="E18" s="30"/>
      <c r="F18" s="30"/>
      <c r="G18" s="8"/>
      <c r="H18" s="8"/>
      <c r="I18" s="8"/>
      <c r="J18" s="8"/>
      <c r="K18" s="8"/>
      <c r="L18" s="8"/>
      <c r="M18" s="66"/>
      <c r="N18" s="67"/>
      <c r="O18" s="68"/>
      <c r="P18" s="66"/>
      <c r="Q18" s="66"/>
      <c r="R18" s="66"/>
      <c r="S18" s="66"/>
    </row>
    <row r="19" spans="1:19" x14ac:dyDescent="0.25">
      <c r="A19" s="29" t="s">
        <v>18</v>
      </c>
      <c r="B19" s="30"/>
      <c r="C19" s="30"/>
      <c r="D19" s="30"/>
      <c r="E19" s="30"/>
      <c r="F19" s="30"/>
      <c r="G19" s="8"/>
      <c r="H19" s="8"/>
      <c r="I19" s="8"/>
      <c r="J19" s="8"/>
      <c r="K19" s="8"/>
      <c r="L19" s="8"/>
      <c r="M19" s="66"/>
      <c r="N19" s="67"/>
      <c r="O19" s="68"/>
      <c r="P19" s="66"/>
      <c r="Q19" s="66"/>
      <c r="R19" s="66"/>
      <c r="S19" s="66"/>
    </row>
    <row r="20" spans="1:19" x14ac:dyDescent="0.25">
      <c r="A20" s="31" t="s">
        <v>19</v>
      </c>
      <c r="B20" s="90"/>
      <c r="C20" s="90"/>
      <c r="D20" s="90"/>
      <c r="E20" s="90"/>
      <c r="F20" s="90"/>
      <c r="G20" s="8"/>
      <c r="H20" s="8"/>
      <c r="I20" s="8"/>
      <c r="J20" s="8"/>
      <c r="K20" s="8"/>
      <c r="L20" s="8"/>
      <c r="M20" s="66"/>
      <c r="N20" s="67"/>
      <c r="O20" s="68"/>
      <c r="P20" s="66"/>
      <c r="Q20" s="66"/>
      <c r="R20" s="66"/>
      <c r="S20" s="66"/>
    </row>
    <row r="21" spans="1:19" x14ac:dyDescent="0.25">
      <c r="A21" s="32"/>
      <c r="B21" s="32"/>
      <c r="C21" s="33"/>
      <c r="D21" s="34"/>
      <c r="E21" s="34"/>
      <c r="F21" s="8"/>
      <c r="G21" s="8"/>
      <c r="H21" s="8"/>
      <c r="I21" s="8"/>
      <c r="J21" s="8"/>
      <c r="K21" s="8"/>
      <c r="L21" s="8"/>
      <c r="M21" s="66"/>
      <c r="N21" s="67"/>
      <c r="O21" s="68"/>
      <c r="P21" s="66"/>
      <c r="Q21" s="66"/>
      <c r="R21" s="66"/>
      <c r="S21" s="66"/>
    </row>
    <row r="22" spans="1:19" x14ac:dyDescent="0.25">
      <c r="A22" s="80" t="s">
        <v>20</v>
      </c>
      <c r="B22" s="81"/>
      <c r="C22" s="81"/>
      <c r="D22" s="81"/>
      <c r="E22" s="81"/>
      <c r="F22" s="81"/>
      <c r="G22" s="81"/>
      <c r="H22" s="82"/>
      <c r="I22" s="8"/>
      <c r="J22" s="8"/>
      <c r="K22" s="27"/>
      <c r="L22" s="28"/>
      <c r="M22" s="66"/>
      <c r="N22" s="66"/>
      <c r="O22" s="66"/>
      <c r="P22" s="66"/>
      <c r="Q22" s="66"/>
      <c r="R22" s="66"/>
      <c r="S22" s="66"/>
    </row>
    <row r="23" spans="1:19" ht="56.25" x14ac:dyDescent="0.25">
      <c r="A23" s="61" t="s">
        <v>21</v>
      </c>
      <c r="B23" s="61" t="s">
        <v>22</v>
      </c>
      <c r="C23" s="61" t="s">
        <v>23</v>
      </c>
      <c r="D23" s="61" t="s">
        <v>24</v>
      </c>
      <c r="E23" s="61" t="s">
        <v>25</v>
      </c>
      <c r="F23" s="61" t="s">
        <v>26</v>
      </c>
      <c r="G23" s="61" t="s">
        <v>27</v>
      </c>
      <c r="H23" s="61" t="s">
        <v>28</v>
      </c>
      <c r="I23" s="8"/>
      <c r="J23" s="8"/>
      <c r="K23" s="27"/>
      <c r="L23" s="28"/>
      <c r="M23" s="66"/>
      <c r="N23" s="66"/>
      <c r="O23" s="66"/>
      <c r="P23" s="66"/>
      <c r="Q23" s="66"/>
      <c r="R23" s="66"/>
      <c r="S23" s="66"/>
    </row>
    <row r="24" spans="1:19" x14ac:dyDescent="0.25">
      <c r="A24" s="35" t="e" cm="1">
        <f t="array" ref="A24">LOOKUP(2,1/(H28:H31&lt;&gt;""),H28:H31)</f>
        <v>#N/A</v>
      </c>
      <c r="B24" s="35" t="e" cm="1">
        <f t="array" ref="B24">LOOKUP(2,1/(I28:I31&lt;&gt;""),I28:I31)</f>
        <v>#N/A</v>
      </c>
      <c r="C24" s="35" t="e" cm="1">
        <f t="array" ref="C24">LOOKUP(2,1/(J28:J31&lt;&gt;""),J28:J31)</f>
        <v>#N/A</v>
      </c>
      <c r="D24" s="35" t="e" cm="1">
        <f t="array" ref="D24">LOOKUP(2,1/(K28:K31&lt;&gt;""),K28:K31)</f>
        <v>#N/A</v>
      </c>
      <c r="E24" s="36">
        <v>1</v>
      </c>
      <c r="F24" s="36">
        <v>1</v>
      </c>
      <c r="G24" s="37">
        <v>0</v>
      </c>
      <c r="H24" s="37">
        <v>0</v>
      </c>
      <c r="I24" s="8"/>
      <c r="J24" s="8"/>
      <c r="K24" s="27"/>
      <c r="L24" s="28"/>
      <c r="M24" s="66"/>
      <c r="N24" s="66"/>
      <c r="O24" s="66"/>
      <c r="P24" s="66"/>
      <c r="Q24" s="66"/>
      <c r="R24" s="66"/>
      <c r="S24" s="66"/>
    </row>
    <row r="25" spans="1:19" x14ac:dyDescent="0.25">
      <c r="G25" s="8"/>
      <c r="H25" s="8"/>
      <c r="I25" s="8"/>
      <c r="J25" s="8"/>
      <c r="K25" s="8"/>
      <c r="L25" s="8"/>
      <c r="M25" s="66"/>
      <c r="N25" s="67"/>
      <c r="O25" s="68"/>
      <c r="P25" s="66"/>
      <c r="Q25" s="66"/>
      <c r="R25" s="66"/>
      <c r="S25" s="66"/>
    </row>
    <row r="26" spans="1:19" x14ac:dyDescent="0.25">
      <c r="A26" s="83" t="s">
        <v>29</v>
      </c>
      <c r="B26" s="84"/>
      <c r="C26" s="84"/>
      <c r="D26" s="84"/>
      <c r="E26" s="84"/>
      <c r="F26" s="84"/>
      <c r="G26" s="84"/>
      <c r="H26" s="84"/>
      <c r="I26" s="84"/>
      <c r="J26" s="84"/>
      <c r="K26" s="85"/>
      <c r="L26" s="8"/>
      <c r="M26" s="66"/>
      <c r="N26" s="69" t="str">
        <f>I27</f>
        <v>Performance Index (%)</v>
      </c>
      <c r="O26" s="68"/>
      <c r="P26" s="66"/>
      <c r="Q26" s="66"/>
      <c r="R26" s="66"/>
      <c r="S26" s="66"/>
    </row>
    <row r="27" spans="1:19" ht="24.75" x14ac:dyDescent="0.25">
      <c r="A27" s="60" t="s">
        <v>30</v>
      </c>
      <c r="B27" s="60" t="s">
        <v>31</v>
      </c>
      <c r="C27" s="60" t="s">
        <v>32</v>
      </c>
      <c r="D27" s="60" t="s">
        <v>33</v>
      </c>
      <c r="E27" s="60" t="s">
        <v>34</v>
      </c>
      <c r="F27" s="60" t="s">
        <v>35</v>
      </c>
      <c r="G27" s="60" t="s">
        <v>36</v>
      </c>
      <c r="H27" s="60" t="s">
        <v>21</v>
      </c>
      <c r="I27" s="60" t="s">
        <v>22</v>
      </c>
      <c r="J27" s="60" t="s">
        <v>23</v>
      </c>
      <c r="K27" s="60" t="s">
        <v>24</v>
      </c>
      <c r="L27" s="8"/>
      <c r="M27" s="70"/>
      <c r="N27" s="70" t="s">
        <v>0</v>
      </c>
      <c r="O27" s="70" t="s">
        <v>37</v>
      </c>
      <c r="P27" s="66"/>
      <c r="Q27" s="66"/>
      <c r="R27" s="66"/>
      <c r="S27" s="66"/>
    </row>
    <row r="28" spans="1:19" x14ac:dyDescent="0.25">
      <c r="A28" s="29" t="s">
        <v>15</v>
      </c>
      <c r="B28" s="38"/>
      <c r="C28" s="39"/>
      <c r="D28" s="39" t="str">
        <f>IF(B28="","",J28*C28)</f>
        <v/>
      </c>
      <c r="E28" s="39"/>
      <c r="F28" s="39" t="str">
        <f>IF(E28="", "", 313800)</f>
        <v/>
      </c>
      <c r="G28" s="39" t="str">
        <f>IF(B28="","",D29-B28)</f>
        <v/>
      </c>
      <c r="H28" s="40" t="str">
        <f>IF(B28="","",B28/C28)</f>
        <v/>
      </c>
      <c r="I28" s="40" t="str">
        <f>IF(B28="","",B28/D29)</f>
        <v/>
      </c>
      <c r="J28" s="40" t="str">
        <f>IF(B28="","",E28/F28)</f>
        <v/>
      </c>
      <c r="K28" s="40"/>
      <c r="L28" s="8"/>
      <c r="M28" s="70" t="str">
        <f>A28</f>
        <v>Q1</v>
      </c>
      <c r="N28" s="71" t="e">
        <f>IF(I28="",NA(),I28)</f>
        <v>#N/A</v>
      </c>
      <c r="O28" s="72" t="e">
        <f>IF(OR(I28="",I28=0),NA(),AVERAGE(I$28:I28))</f>
        <v>#N/A</v>
      </c>
      <c r="P28" s="66">
        <v>1</v>
      </c>
      <c r="Q28" s="66">
        <v>3</v>
      </c>
      <c r="R28" s="66"/>
      <c r="S28" s="66"/>
    </row>
    <row r="29" spans="1:19" x14ac:dyDescent="0.25">
      <c r="A29" s="29" t="s">
        <v>16</v>
      </c>
      <c r="B29" s="39"/>
      <c r="C29" s="39"/>
      <c r="D29" s="39" t="str">
        <f t="shared" ref="D29:D31" si="0">IF(B29="","",J29*C29)</f>
        <v/>
      </c>
      <c r="E29" s="39"/>
      <c r="F29" s="39" t="str">
        <f>IF(E29="", "", 561600)</f>
        <v/>
      </c>
      <c r="G29" s="39" t="str">
        <f>IF(B29="","",#REF!-B29)</f>
        <v/>
      </c>
      <c r="H29" s="40" t="str">
        <f t="shared" ref="H29:H31" si="1">IF(B29="","",B29/C29)</f>
        <v/>
      </c>
      <c r="I29" s="40" t="str">
        <f>IF(B29="","",B29/#REF!)</f>
        <v/>
      </c>
      <c r="J29" s="40" t="str">
        <f t="shared" ref="J29:J31" si="2">IF(B29="","",E29/F29)</f>
        <v/>
      </c>
      <c r="K29" s="40"/>
      <c r="L29" s="8"/>
      <c r="M29" s="70" t="str">
        <f t="shared" ref="M29:M31" si="3">A29</f>
        <v>Q2</v>
      </c>
      <c r="N29" s="71" t="e">
        <f t="shared" ref="N29:N31" si="4">IF(I29="",NA(),I29)</f>
        <v>#N/A</v>
      </c>
      <c r="O29" s="72" t="e">
        <f>IF(OR(I29="",I29=0),NA(),AVERAGE(I$28:I29))</f>
        <v>#N/A</v>
      </c>
      <c r="P29" s="66">
        <v>4</v>
      </c>
      <c r="Q29" s="66">
        <v>6</v>
      </c>
      <c r="R29" s="66"/>
      <c r="S29" s="66"/>
    </row>
    <row r="30" spans="1:19" x14ac:dyDescent="0.25">
      <c r="A30" s="29" t="s">
        <v>17</v>
      </c>
      <c r="B30" s="39"/>
      <c r="C30" s="39"/>
      <c r="D30" s="39" t="str">
        <f t="shared" si="0"/>
        <v/>
      </c>
      <c r="E30" s="39"/>
      <c r="F30" s="39" t="str">
        <f>IF(E30="", "", 499800)</f>
        <v/>
      </c>
      <c r="G30" s="39" t="str">
        <f t="shared" ref="G30:G31" si="5">IF(B30="","",D30-B30)</f>
        <v/>
      </c>
      <c r="H30" s="40" t="str">
        <f t="shared" si="1"/>
        <v/>
      </c>
      <c r="I30" s="40" t="str">
        <f t="shared" ref="I30:I31" si="6">IF(B30="","",B30/D30)</f>
        <v/>
      </c>
      <c r="J30" s="40" t="str">
        <f t="shared" si="2"/>
        <v/>
      </c>
      <c r="K30" s="41"/>
      <c r="L30" s="8"/>
      <c r="M30" s="70" t="str">
        <f t="shared" si="3"/>
        <v>Q3</v>
      </c>
      <c r="N30" s="71" t="e">
        <f t="shared" si="4"/>
        <v>#N/A</v>
      </c>
      <c r="O30" s="72" t="e">
        <f>IF(OR(I30="",I30=0),NA(),AVERAGE(I$28:I30))</f>
        <v>#N/A</v>
      </c>
      <c r="P30" s="66">
        <v>7</v>
      </c>
      <c r="Q30" s="66">
        <v>9</v>
      </c>
      <c r="R30" s="66"/>
      <c r="S30" s="66"/>
    </row>
    <row r="31" spans="1:19" x14ac:dyDescent="0.25">
      <c r="A31" s="29" t="s">
        <v>18</v>
      </c>
      <c r="B31" s="39"/>
      <c r="C31" s="39"/>
      <c r="D31" s="39" t="str">
        <f t="shared" si="0"/>
        <v/>
      </c>
      <c r="E31" s="39"/>
      <c r="F31" s="39" t="str">
        <f>IF(E31="", "", 270000)</f>
        <v/>
      </c>
      <c r="G31" s="39" t="str">
        <f t="shared" si="5"/>
        <v/>
      </c>
      <c r="H31" s="40" t="str">
        <f t="shared" si="1"/>
        <v/>
      </c>
      <c r="I31" s="40" t="str">
        <f t="shared" si="6"/>
        <v/>
      </c>
      <c r="J31" s="40" t="str">
        <f t="shared" si="2"/>
        <v/>
      </c>
      <c r="K31" s="41"/>
      <c r="L31" s="8"/>
      <c r="M31" s="70" t="str">
        <f t="shared" si="3"/>
        <v>Q4</v>
      </c>
      <c r="N31" s="71" t="e">
        <f t="shared" si="4"/>
        <v>#N/A</v>
      </c>
      <c r="O31" s="72" t="e">
        <f>IF(OR(I31="",I31=0),NA(),AVERAGE(I$28:I31))</f>
        <v>#N/A</v>
      </c>
      <c r="P31" s="66">
        <v>10</v>
      </c>
      <c r="Q31" s="66">
        <v>12</v>
      </c>
      <c r="R31" s="66"/>
      <c r="S31" s="66"/>
    </row>
    <row r="32" spans="1:19" x14ac:dyDescent="0.25">
      <c r="A32" s="63" t="s">
        <v>37</v>
      </c>
      <c r="B32" s="64">
        <f>SUM(B28:B31)</f>
        <v>0</v>
      </c>
      <c r="C32" s="64">
        <f t="shared" ref="C32:G32" si="7">SUM(C28:C31)</f>
        <v>0</v>
      </c>
      <c r="D32" s="64">
        <f>SUM(D29:D31)</f>
        <v>0</v>
      </c>
      <c r="E32" s="64">
        <f t="shared" si="7"/>
        <v>0</v>
      </c>
      <c r="F32" s="64">
        <f t="shared" si="7"/>
        <v>0</v>
      </c>
      <c r="G32" s="64">
        <f t="shared" si="7"/>
        <v>0</v>
      </c>
      <c r="H32" s="65" t="str">
        <f>IFERROR(AVERAGE(H28:H31),"")</f>
        <v/>
      </c>
      <c r="I32" s="65" t="str">
        <f t="shared" ref="I32:K32" si="8">IFERROR(AVERAGE(I28:I31),"")</f>
        <v/>
      </c>
      <c r="J32" s="65" t="str">
        <f t="shared" si="8"/>
        <v/>
      </c>
      <c r="K32" s="65" t="str">
        <f t="shared" si="8"/>
        <v/>
      </c>
      <c r="L32" s="8"/>
      <c r="M32" s="70"/>
      <c r="N32" s="70"/>
      <c r="O32" s="70"/>
      <c r="P32" s="66"/>
      <c r="Q32" s="66"/>
      <c r="R32" s="66"/>
      <c r="S32" s="66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8"/>
      <c r="M33" s="66"/>
      <c r="N33" s="66"/>
      <c r="O33" s="66"/>
      <c r="P33" s="66"/>
      <c r="Q33" s="66"/>
      <c r="R33" s="66"/>
      <c r="S33" s="66"/>
    </row>
    <row r="34" spans="1:19" x14ac:dyDescent="0.25">
      <c r="A34" s="86" t="s">
        <v>38</v>
      </c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"/>
      <c r="M34" s="66"/>
      <c r="N34" s="66"/>
      <c r="O34" s="66"/>
      <c r="P34" s="66"/>
      <c r="Q34" s="66"/>
      <c r="R34" s="66"/>
      <c r="S34" s="66"/>
    </row>
    <row r="35" spans="1:19" x14ac:dyDescent="0.25">
      <c r="A35" s="60" t="s">
        <v>39</v>
      </c>
      <c r="B35" s="60" t="s">
        <v>40</v>
      </c>
      <c r="C35" s="60" t="s">
        <v>41</v>
      </c>
      <c r="D35" s="60" t="s">
        <v>42</v>
      </c>
      <c r="E35" s="60" t="s">
        <v>43</v>
      </c>
      <c r="F35" s="60" t="s">
        <v>44</v>
      </c>
      <c r="G35" s="73" t="s">
        <v>45</v>
      </c>
      <c r="H35" s="73"/>
      <c r="I35" s="73"/>
      <c r="J35" s="73"/>
      <c r="K35" s="73"/>
      <c r="L35" s="8"/>
      <c r="M35" s="66"/>
      <c r="N35" s="66"/>
      <c r="O35" s="66"/>
      <c r="P35" s="66"/>
      <c r="Q35" s="66"/>
      <c r="R35" s="66"/>
      <c r="S35" s="66"/>
    </row>
    <row r="36" spans="1:19" x14ac:dyDescent="0.25">
      <c r="A36" s="42"/>
      <c r="B36" s="43"/>
      <c r="C36" s="44"/>
      <c r="D36" s="44"/>
      <c r="E36" s="45"/>
      <c r="F36" s="45"/>
      <c r="G36" s="87" t="s">
        <v>46</v>
      </c>
      <c r="H36" s="87"/>
      <c r="I36" s="87"/>
      <c r="J36" s="87"/>
      <c r="K36" s="87"/>
      <c r="L36" s="8"/>
      <c r="M36" s="66"/>
      <c r="N36" s="66"/>
      <c r="O36" s="66"/>
      <c r="P36" s="66"/>
      <c r="Q36" s="66"/>
      <c r="R36" s="66"/>
      <c r="S36" s="66"/>
    </row>
    <row r="37" spans="1:19" x14ac:dyDescent="0.25">
      <c r="A37" s="46"/>
      <c r="B37" s="46"/>
      <c r="C37" s="47"/>
      <c r="D37" s="48"/>
      <c r="E37" s="49"/>
      <c r="F37" s="50"/>
      <c r="G37" s="50"/>
      <c r="H37" s="50"/>
      <c r="I37" s="50"/>
      <c r="J37" s="50"/>
      <c r="K37" s="50"/>
      <c r="L37" s="8"/>
      <c r="M37" s="66"/>
      <c r="N37" s="66"/>
      <c r="O37" s="66"/>
      <c r="P37" s="66"/>
      <c r="Q37" s="66"/>
      <c r="R37" s="66"/>
      <c r="S37" s="66"/>
    </row>
    <row r="38" spans="1:19" x14ac:dyDescent="0.25">
      <c r="A38" s="86" t="s">
        <v>47</v>
      </c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"/>
      <c r="M38" s="66"/>
      <c r="N38" s="66"/>
      <c r="O38" s="66"/>
      <c r="P38" s="66"/>
      <c r="Q38" s="66"/>
      <c r="R38" s="66"/>
      <c r="S38" s="66"/>
    </row>
    <row r="39" spans="1:19" x14ac:dyDescent="0.25">
      <c r="A39" s="60" t="s">
        <v>39</v>
      </c>
      <c r="B39" s="60" t="s">
        <v>40</v>
      </c>
      <c r="C39" s="60" t="s">
        <v>48</v>
      </c>
      <c r="D39" s="60" t="s">
        <v>49</v>
      </c>
      <c r="E39" s="73" t="s">
        <v>44</v>
      </c>
      <c r="F39" s="73"/>
      <c r="G39" s="73"/>
      <c r="H39" s="73"/>
      <c r="I39" s="73"/>
      <c r="J39" s="73"/>
      <c r="K39" s="73"/>
      <c r="L39" s="8"/>
      <c r="M39" s="66"/>
      <c r="N39" s="66"/>
      <c r="O39" s="66"/>
      <c r="P39" s="66"/>
      <c r="Q39" s="66"/>
      <c r="R39" s="66"/>
      <c r="S39" s="66"/>
    </row>
    <row r="40" spans="1:19" x14ac:dyDescent="0.25">
      <c r="A40" s="42"/>
      <c r="B40" s="43"/>
      <c r="C40" s="44"/>
      <c r="D40" s="44"/>
      <c r="E40" s="74" t="s">
        <v>46</v>
      </c>
      <c r="F40" s="75"/>
      <c r="G40" s="75"/>
      <c r="H40" s="75"/>
      <c r="I40" s="75"/>
      <c r="J40" s="75"/>
      <c r="K40" s="76"/>
      <c r="L40" s="8"/>
      <c r="M40" s="66"/>
      <c r="N40" s="66"/>
      <c r="O40" s="66"/>
      <c r="P40" s="66"/>
      <c r="Q40" s="66"/>
      <c r="R40" s="66"/>
      <c r="S40" s="66"/>
    </row>
    <row r="41" spans="1:19" x14ac:dyDescent="0.25">
      <c r="A41" s="46"/>
      <c r="B41" s="46"/>
      <c r="C41" s="47"/>
      <c r="D41" s="48"/>
      <c r="E41" s="49"/>
      <c r="F41" s="50"/>
      <c r="G41" s="50"/>
      <c r="H41" s="50"/>
      <c r="I41" s="50"/>
      <c r="J41" s="50"/>
      <c r="K41" s="50"/>
      <c r="L41" s="8"/>
      <c r="M41" s="66"/>
      <c r="N41" s="66"/>
      <c r="O41" s="66"/>
      <c r="P41" s="66"/>
      <c r="Q41" s="66"/>
      <c r="R41" s="66"/>
      <c r="S41" s="66"/>
    </row>
    <row r="42" spans="1:19" x14ac:dyDescent="0.25">
      <c r="A42" s="58" t="s">
        <v>50</v>
      </c>
      <c r="B42" s="57"/>
      <c r="C42" s="57"/>
      <c r="D42" s="57"/>
      <c r="E42" s="57"/>
      <c r="F42" s="57"/>
      <c r="G42" s="57"/>
      <c r="H42" s="57"/>
      <c r="I42" s="57"/>
      <c r="J42" s="57"/>
      <c r="K42" s="59"/>
      <c r="L42" s="8"/>
      <c r="M42" s="66"/>
      <c r="N42" s="66"/>
      <c r="O42" s="66"/>
      <c r="P42" s="66"/>
      <c r="Q42" s="66"/>
      <c r="R42" s="66"/>
      <c r="S42" s="66"/>
    </row>
    <row r="43" spans="1:19" x14ac:dyDescent="0.25">
      <c r="A43" s="62" t="s">
        <v>51</v>
      </c>
      <c r="B43" s="62" t="s">
        <v>40</v>
      </c>
      <c r="C43" s="62" t="s">
        <v>52</v>
      </c>
      <c r="D43" s="62" t="s">
        <v>53</v>
      </c>
      <c r="E43" s="77" t="s">
        <v>54</v>
      </c>
      <c r="F43" s="78"/>
      <c r="G43" s="78"/>
      <c r="H43" s="78"/>
      <c r="I43" s="78"/>
      <c r="J43" s="78"/>
      <c r="K43" s="79"/>
      <c r="L43" s="8"/>
      <c r="M43" s="66"/>
      <c r="N43" s="66"/>
      <c r="O43" s="66"/>
      <c r="P43" s="66"/>
      <c r="Q43" s="66"/>
      <c r="R43" s="66"/>
      <c r="S43" s="66"/>
    </row>
    <row r="44" spans="1:19" x14ac:dyDescent="0.25">
      <c r="A44" s="51"/>
      <c r="B44" s="42"/>
      <c r="C44" s="44"/>
      <c r="D44" s="52"/>
      <c r="E44" s="74" t="s">
        <v>55</v>
      </c>
      <c r="F44" s="75"/>
      <c r="G44" s="75"/>
      <c r="H44" s="75"/>
      <c r="I44" s="75"/>
      <c r="J44" s="75"/>
      <c r="K44" s="76"/>
      <c r="L44" s="8"/>
      <c r="M44" s="66"/>
      <c r="N44" s="66"/>
      <c r="O44" s="66"/>
      <c r="P44" s="66"/>
      <c r="Q44" s="66"/>
      <c r="R44" s="66"/>
      <c r="S44" s="66"/>
    </row>
    <row r="45" spans="1:19" x14ac:dyDescent="0.25">
      <c r="A45" s="53" t="s">
        <v>56</v>
      </c>
      <c r="B45" s="54"/>
      <c r="C45" s="54"/>
      <c r="D45" s="54"/>
      <c r="E45" s="10"/>
      <c r="F45" s="10"/>
      <c r="G45" s="10"/>
      <c r="H45" s="10"/>
      <c r="I45" s="10"/>
      <c r="J45" s="10"/>
      <c r="K45" s="10"/>
      <c r="L45" s="8"/>
      <c r="M45" s="66"/>
      <c r="N45" s="66"/>
      <c r="O45" s="66"/>
      <c r="P45" s="66"/>
      <c r="Q45" s="66"/>
      <c r="R45" s="66"/>
      <c r="S45" s="66"/>
    </row>
    <row r="46" spans="1:19" x14ac:dyDescent="0.25">
      <c r="A46" s="54"/>
      <c r="B46" s="54"/>
      <c r="C46" s="54"/>
      <c r="D46" s="54"/>
      <c r="E46" s="10"/>
      <c r="F46" s="10"/>
      <c r="G46" s="10"/>
      <c r="H46" s="10"/>
      <c r="I46" s="10"/>
      <c r="J46" s="10"/>
      <c r="K46" s="10"/>
      <c r="L46" s="8"/>
      <c r="M46" s="66"/>
      <c r="N46" s="66"/>
      <c r="O46" s="66"/>
      <c r="P46" s="66"/>
      <c r="Q46" s="66"/>
      <c r="R46" s="66"/>
      <c r="S46" s="66"/>
    </row>
    <row r="47" spans="1:19" x14ac:dyDescent="0.25">
      <c r="A47" s="54"/>
      <c r="B47" s="54"/>
      <c r="C47" s="54"/>
      <c r="D47" s="54"/>
      <c r="E47" s="10"/>
      <c r="F47" s="10"/>
      <c r="G47" s="10"/>
      <c r="H47" s="10"/>
      <c r="I47" s="10"/>
      <c r="J47" s="10"/>
      <c r="K47" s="10"/>
      <c r="L47" s="8"/>
      <c r="M47" s="66"/>
      <c r="N47" s="66"/>
      <c r="O47" s="66"/>
      <c r="P47" s="66"/>
      <c r="Q47" s="66"/>
      <c r="R47" s="66"/>
      <c r="S47" s="66"/>
    </row>
    <row r="48" spans="1:19" x14ac:dyDescent="0.25">
      <c r="A48" s="54"/>
      <c r="B48" s="54"/>
      <c r="C48" s="54"/>
      <c r="D48" s="54"/>
      <c r="E48" s="10"/>
      <c r="F48" s="10"/>
      <c r="G48" s="10"/>
      <c r="H48" s="10"/>
      <c r="I48" s="10"/>
      <c r="J48" s="10"/>
      <c r="K48" s="10"/>
      <c r="L48" s="8"/>
      <c r="M48" s="66"/>
      <c r="N48" s="66"/>
      <c r="O48" s="66"/>
      <c r="P48" s="66"/>
      <c r="Q48" s="66"/>
      <c r="R48" s="66"/>
      <c r="S48" s="66"/>
    </row>
    <row r="49" spans="1:19" x14ac:dyDescent="0.25">
      <c r="A49" s="54"/>
      <c r="B49" s="54"/>
      <c r="C49" s="54"/>
      <c r="D49" s="54"/>
      <c r="E49" s="10"/>
      <c r="F49" s="10"/>
      <c r="G49" s="10"/>
      <c r="H49" s="10"/>
      <c r="I49" s="10"/>
      <c r="J49" s="10"/>
      <c r="K49" s="10"/>
      <c r="L49" s="8"/>
      <c r="M49" s="66"/>
      <c r="N49" s="66"/>
      <c r="O49" s="66"/>
      <c r="P49" s="66"/>
      <c r="Q49" s="66"/>
      <c r="R49" s="66"/>
      <c r="S49" s="66"/>
    </row>
    <row r="50" spans="1:19" x14ac:dyDescent="0.25">
      <c r="A50" s="54"/>
      <c r="B50" s="54"/>
      <c r="C50" s="54"/>
      <c r="D50" s="54"/>
      <c r="E50" s="10"/>
      <c r="F50" s="10"/>
      <c r="G50" s="10"/>
      <c r="H50" s="10"/>
      <c r="I50" s="10"/>
      <c r="J50" s="10"/>
      <c r="K50" s="10"/>
      <c r="L50" s="8"/>
      <c r="M50" s="66"/>
      <c r="N50" s="66"/>
      <c r="O50" s="66"/>
      <c r="P50" s="66"/>
      <c r="Q50" s="66"/>
      <c r="R50" s="66"/>
      <c r="S50" s="66"/>
    </row>
    <row r="51" spans="1:19" x14ac:dyDescent="0.25">
      <c r="A51" s="54"/>
      <c r="B51" s="54"/>
      <c r="C51" s="54"/>
      <c r="D51" s="54"/>
      <c r="E51" s="10"/>
      <c r="F51" s="10"/>
      <c r="G51" s="10"/>
      <c r="H51" s="10"/>
      <c r="I51" s="10"/>
      <c r="J51" s="10"/>
      <c r="K51" s="10"/>
      <c r="L51" s="8"/>
      <c r="M51" s="66"/>
      <c r="N51" s="66"/>
      <c r="O51" s="66"/>
      <c r="P51" s="66"/>
      <c r="Q51" s="66"/>
      <c r="R51" s="66"/>
      <c r="S51" s="66"/>
    </row>
    <row r="52" spans="1:19" x14ac:dyDescent="0.25">
      <c r="A52" s="54"/>
      <c r="B52" s="54"/>
      <c r="C52" s="54"/>
      <c r="D52" s="54"/>
      <c r="E52" s="10"/>
      <c r="F52" s="10"/>
      <c r="G52" s="10"/>
      <c r="H52" s="10"/>
      <c r="I52" s="10"/>
      <c r="J52" s="10"/>
      <c r="K52" s="10"/>
      <c r="L52" s="8"/>
      <c r="M52" s="66"/>
      <c r="N52" s="66"/>
      <c r="O52" s="66"/>
      <c r="P52" s="66"/>
      <c r="Q52" s="66"/>
      <c r="R52" s="66"/>
      <c r="S52" s="66"/>
    </row>
    <row r="53" spans="1:19" x14ac:dyDescent="0.25">
      <c r="A53" s="54"/>
      <c r="B53" s="54"/>
      <c r="C53" s="54"/>
      <c r="D53" s="54"/>
      <c r="E53" s="10"/>
      <c r="F53" s="10"/>
      <c r="G53" s="10"/>
      <c r="H53" s="10"/>
      <c r="I53" s="10"/>
      <c r="J53" s="10"/>
      <c r="K53" s="10"/>
      <c r="L53" s="8"/>
      <c r="M53" s="66"/>
      <c r="N53" s="66"/>
      <c r="O53" s="66"/>
      <c r="P53" s="66"/>
      <c r="Q53" s="66"/>
      <c r="R53" s="66"/>
      <c r="S53" s="66"/>
    </row>
    <row r="54" spans="1:19" x14ac:dyDescent="0.25">
      <c r="A54" s="54"/>
      <c r="B54" s="54"/>
      <c r="C54" s="54"/>
      <c r="D54" s="54"/>
      <c r="E54" s="10"/>
      <c r="F54" s="10"/>
      <c r="G54" s="10"/>
      <c r="H54" s="10"/>
      <c r="I54" s="10"/>
      <c r="J54" s="10"/>
      <c r="K54" s="10"/>
      <c r="L54" s="8"/>
      <c r="M54" s="66"/>
      <c r="N54" s="66"/>
      <c r="O54" s="66"/>
      <c r="P54" s="66"/>
      <c r="Q54" s="66"/>
      <c r="R54" s="66"/>
      <c r="S54" s="66"/>
    </row>
    <row r="55" spans="1:19" x14ac:dyDescent="0.25">
      <c r="A55" s="55"/>
      <c r="B55" s="55"/>
      <c r="C55" s="55"/>
      <c r="D55" s="55"/>
      <c r="E55" s="56"/>
      <c r="F55" s="56"/>
      <c r="G55" s="56"/>
      <c r="H55" s="56"/>
      <c r="I55" s="56"/>
      <c r="J55" s="56"/>
      <c r="K55" s="56"/>
      <c r="L55" s="8"/>
      <c r="M55" s="66"/>
      <c r="N55" s="66"/>
      <c r="O55" s="66"/>
      <c r="P55" s="66"/>
      <c r="Q55" s="66"/>
      <c r="R55" s="66"/>
      <c r="S55" s="66"/>
    </row>
    <row r="56" spans="1:19" x14ac:dyDescent="0.25">
      <c r="A56" s="55"/>
      <c r="B56" s="55"/>
      <c r="C56" s="55"/>
      <c r="D56" s="55"/>
      <c r="E56" s="56"/>
      <c r="F56" s="56"/>
      <c r="G56" s="56"/>
      <c r="H56" s="56"/>
      <c r="I56" s="56"/>
      <c r="J56" s="56"/>
      <c r="K56" s="56"/>
      <c r="L56" s="8"/>
      <c r="M56" s="66"/>
      <c r="N56" s="66"/>
      <c r="O56" s="66"/>
      <c r="P56" s="66"/>
      <c r="Q56" s="66"/>
      <c r="R56" s="66"/>
      <c r="S56" s="66"/>
    </row>
    <row r="57" spans="1:19" x14ac:dyDescent="0.25">
      <c r="A57" s="55"/>
      <c r="B57" s="55"/>
      <c r="C57" s="55"/>
      <c r="D57" s="55"/>
      <c r="E57" s="56"/>
      <c r="F57" s="56"/>
      <c r="G57" s="56"/>
      <c r="H57" s="56"/>
      <c r="I57" s="56"/>
      <c r="J57" s="56"/>
      <c r="K57" s="56"/>
      <c r="L57" s="8"/>
      <c r="M57" s="66"/>
      <c r="N57" s="66"/>
      <c r="O57" s="66"/>
      <c r="P57" s="66"/>
      <c r="Q57" s="66"/>
      <c r="R57" s="66"/>
      <c r="S57" s="66"/>
    </row>
    <row r="58" spans="1:19" x14ac:dyDescent="0.25">
      <c r="A58" s="55"/>
      <c r="B58" s="55"/>
      <c r="C58" s="55"/>
      <c r="D58" s="55"/>
      <c r="E58" s="56"/>
      <c r="F58" s="56"/>
      <c r="G58" s="56"/>
      <c r="H58" s="56"/>
      <c r="I58" s="56"/>
      <c r="J58" s="56"/>
      <c r="K58" s="56"/>
      <c r="L58" s="8"/>
      <c r="M58" s="66"/>
      <c r="N58" s="66"/>
      <c r="O58" s="66"/>
      <c r="P58" s="66"/>
      <c r="Q58" s="66"/>
      <c r="R58" s="66"/>
      <c r="S58" s="66"/>
    </row>
    <row r="59" spans="1:19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66"/>
      <c r="N59" s="66"/>
      <c r="O59" s="66"/>
      <c r="P59" s="66"/>
      <c r="Q59" s="66"/>
      <c r="R59" s="66"/>
      <c r="S59" s="66"/>
    </row>
    <row r="60" spans="1:19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66"/>
      <c r="N60" s="66"/>
      <c r="O60" s="66"/>
      <c r="P60" s="66"/>
      <c r="Q60" s="66"/>
      <c r="R60" s="66"/>
      <c r="S60" s="66"/>
    </row>
    <row r="61" spans="1:19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66"/>
      <c r="N61" s="66"/>
      <c r="O61" s="66"/>
      <c r="P61" s="66"/>
      <c r="Q61" s="66"/>
      <c r="R61" s="66"/>
      <c r="S61" s="66"/>
    </row>
  </sheetData>
  <mergeCells count="16">
    <mergeCell ref="B20:F20"/>
    <mergeCell ref="A5:C5"/>
    <mergeCell ref="I5:K5"/>
    <mergeCell ref="I6:K6"/>
    <mergeCell ref="I7:K7"/>
    <mergeCell ref="A14:F14"/>
    <mergeCell ref="E39:K39"/>
    <mergeCell ref="E40:K40"/>
    <mergeCell ref="E43:K43"/>
    <mergeCell ref="E44:K44"/>
    <mergeCell ref="A22:H22"/>
    <mergeCell ref="A26:K26"/>
    <mergeCell ref="A34:K34"/>
    <mergeCell ref="G35:K35"/>
    <mergeCell ref="G36:K36"/>
    <mergeCell ref="A38:K38"/>
  </mergeCells>
  <conditionalFormatting sqref="B16:F19">
    <cfRule type="dataBar" priority="3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{E9F307F4-23BD-459F-BA52-504E3E263125}</x14:id>
        </ext>
      </extLst>
    </cfRule>
    <cfRule type="dataBar" priority="4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{4EEE747A-00AB-4BC2-94EE-D98999D20DBB}</x14:id>
        </ext>
      </extLst>
    </cfRule>
  </conditionalFormatting>
  <conditionalFormatting sqref="H28:K28 H29:J31">
    <cfRule type="dataBar" priority="5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{9535D230-2615-4AA4-BD8F-3928F2FC5165}</x14:id>
        </ext>
      </extLst>
    </cfRule>
    <cfRule type="dataBar" priority="6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{76DB8CB4-16CD-48CD-BC9C-25CBC251A8B8}</x14:id>
        </ext>
      </extLst>
    </cfRule>
  </conditionalFormatting>
  <conditionalFormatting sqref="K29">
    <cfRule type="dataBar" priority="1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{FF4D72C5-4098-4A89-95A7-4187D2F0F5F4}</x14:id>
        </ext>
      </extLst>
    </cfRule>
    <cfRule type="dataBar" priority="2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{EFB41064-7069-4654-9F00-E9FAD7B9B87E}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9F307F4-23BD-459F-BA52-504E3E263125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4EEE747A-00AB-4BC2-94EE-D98999D20DBB}">
            <x14:dataBar minLength="0" maxLength="100" gradient="0" negativeBarColorSameAsPositive="1" axisPosition="none">
              <x14:cfvo type="min"/>
              <x14:cfvo type="max"/>
            </x14:dataBar>
          </x14:cfRule>
          <xm:sqref>B16:F19</xm:sqref>
        </x14:conditionalFormatting>
        <x14:conditionalFormatting xmlns:xm="http://schemas.microsoft.com/office/excel/2006/main">
          <x14:cfRule type="dataBar" id="{9535D230-2615-4AA4-BD8F-3928F2FC5165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76DB8CB4-16CD-48CD-BC9C-25CBC251A8B8}">
            <x14:dataBar minLength="0" maxLength="100" gradient="0" negativeBarColorSameAsPositive="1" axisPosition="none">
              <x14:cfvo type="min"/>
              <x14:cfvo type="max"/>
            </x14:dataBar>
          </x14:cfRule>
          <xm:sqref>H28:K28 H29:J31</xm:sqref>
        </x14:conditionalFormatting>
        <x14:conditionalFormatting xmlns:xm="http://schemas.microsoft.com/office/excel/2006/main">
          <x14:cfRule type="dataBar" id="{FF4D72C5-4098-4A89-95A7-4187D2F0F5F4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EFB41064-7069-4654-9F00-E9FAD7B9B87E}">
            <x14:dataBar minLength="0" maxLength="100" gradient="0" negativeBarColorSameAsPositive="1" axisPosition="none">
              <x14:cfvo type="min"/>
              <x14:cfvo type="max"/>
            </x14:dataBar>
          </x14:cfRule>
          <xm:sqref>K29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33741-89A7-4A8B-B0FA-476315E626F0}">
  <sheetPr codeName="Sheet9"/>
  <dimension ref="A1:AA61"/>
  <sheetViews>
    <sheetView topLeftCell="A11" zoomScale="130" zoomScaleNormal="130" workbookViewId="0">
      <selection activeCell="K23" sqref="K23"/>
    </sheetView>
  </sheetViews>
  <sheetFormatPr defaultRowHeight="15" x14ac:dyDescent="0.25"/>
  <cols>
    <col min="1" max="1" width="16.7109375" style="5" customWidth="1"/>
    <col min="2" max="2" width="19.5703125" style="5" customWidth="1"/>
    <col min="3" max="3" width="15.140625" style="5" customWidth="1"/>
    <col min="4" max="4" width="13.28515625" style="5" customWidth="1"/>
    <col min="5" max="5" width="12.5703125" style="5" customWidth="1"/>
    <col min="6" max="6" width="21.42578125" style="5" customWidth="1"/>
    <col min="7" max="7" width="38.42578125" style="5" customWidth="1"/>
    <col min="8" max="12" width="9.140625" style="5"/>
    <col min="28" max="16384" width="9.140625" style="5"/>
  </cols>
  <sheetData>
    <row r="1" spans="1:19" ht="15.75" x14ac:dyDescent="0.25">
      <c r="A1" s="3"/>
      <c r="B1" s="4"/>
      <c r="C1" s="4"/>
      <c r="D1" s="3"/>
      <c r="E1" s="2"/>
      <c r="F1" s="2" t="s">
        <v>73</v>
      </c>
      <c r="G1" s="4"/>
      <c r="H1" s="4"/>
      <c r="I1" s="4"/>
      <c r="J1" s="4"/>
      <c r="K1" s="4"/>
    </row>
    <row r="2" spans="1:19" ht="15.75" x14ac:dyDescent="0.25">
      <c r="A2" s="4"/>
      <c r="B2" s="4"/>
      <c r="C2" s="4"/>
      <c r="D2" s="3"/>
      <c r="E2" s="6"/>
      <c r="F2" s="2" t="s">
        <v>74</v>
      </c>
      <c r="G2" s="3"/>
      <c r="H2" s="3"/>
      <c r="I2" s="4"/>
      <c r="J2" s="4"/>
      <c r="K2" s="4"/>
    </row>
    <row r="3" spans="1:19" x14ac:dyDescent="0.25">
      <c r="A3" s="8"/>
      <c r="B3" s="8"/>
      <c r="C3" s="9"/>
      <c r="D3" s="10"/>
      <c r="E3" s="11"/>
      <c r="F3" s="7" t="s">
        <v>59</v>
      </c>
      <c r="G3" s="9"/>
      <c r="H3" s="9"/>
      <c r="I3" s="9"/>
      <c r="J3" s="9"/>
      <c r="K3" s="9"/>
    </row>
    <row r="4" spans="1:19" ht="33" customHeight="1" x14ac:dyDescent="0.25">
      <c r="A4" s="8"/>
      <c r="B4" s="8"/>
      <c r="C4" s="8"/>
      <c r="D4" s="10"/>
      <c r="E4" s="12"/>
      <c r="F4" s="12" t="str">
        <f ca="1">IF(COUNTA(B28:B31)=0, "Reporting Period: " &amp; YEAR(TODAY()),
    IF(COUNTA(B28:B31)=1, "Reporting Period: January - March " &amp; YEAR(TODAY()),
    IF(COUNTA(B28:B31)=2, "Reporting Period: April - June " &amp; YEAR(TODAY()),
    IF(COUNTA(B28:B31)=3, "Reporting Period: July - September " &amp; YEAR(TODAY()),
    "Reporting Period: October - December " &amp; YEAR(TODAY())))))</f>
        <v>Reporting Period: 2024</v>
      </c>
      <c r="G4" s="13"/>
      <c r="H4" s="13"/>
      <c r="I4" s="13"/>
      <c r="J4" s="13"/>
      <c r="K4" s="13"/>
    </row>
    <row r="5" spans="1:19" x14ac:dyDescent="0.25">
      <c r="A5" s="80" t="s">
        <v>1</v>
      </c>
      <c r="B5" s="81"/>
      <c r="C5" s="82"/>
      <c r="D5" s="14"/>
      <c r="E5" s="14"/>
      <c r="F5" s="8"/>
      <c r="G5" s="15"/>
      <c r="H5" s="15"/>
      <c r="I5" s="88"/>
      <c r="J5" s="88"/>
      <c r="K5" s="88"/>
    </row>
    <row r="6" spans="1:19" x14ac:dyDescent="0.25">
      <c r="A6" s="16"/>
      <c r="B6" s="17" t="s">
        <v>2</v>
      </c>
      <c r="C6" s="18">
        <v>6.7</v>
      </c>
      <c r="D6" s="19"/>
      <c r="E6" s="19"/>
      <c r="F6" s="8"/>
      <c r="G6" s="15"/>
      <c r="H6" s="15"/>
      <c r="I6" s="88"/>
      <c r="J6" s="88"/>
      <c r="K6" s="88"/>
    </row>
    <row r="7" spans="1:19" x14ac:dyDescent="0.25">
      <c r="A7" s="16"/>
      <c r="B7" s="17" t="s">
        <v>3</v>
      </c>
      <c r="C7" s="18">
        <v>5</v>
      </c>
      <c r="D7" s="19"/>
      <c r="E7" s="19"/>
      <c r="F7" s="8"/>
      <c r="G7" s="15"/>
      <c r="H7" s="15"/>
      <c r="I7" s="88"/>
      <c r="J7" s="88"/>
      <c r="K7" s="88"/>
    </row>
    <row r="8" spans="1:19" x14ac:dyDescent="0.25">
      <c r="A8" s="16"/>
      <c r="B8" s="17" t="s">
        <v>4</v>
      </c>
      <c r="C8" s="20">
        <v>6</v>
      </c>
      <c r="D8" s="21"/>
      <c r="E8" s="21"/>
      <c r="F8" s="8"/>
      <c r="G8" s="15"/>
      <c r="H8" s="8"/>
      <c r="I8" s="8"/>
      <c r="J8" s="8"/>
      <c r="K8" s="8"/>
    </row>
    <row r="9" spans="1:19" x14ac:dyDescent="0.25">
      <c r="A9" s="16"/>
      <c r="B9" s="17" t="s">
        <v>5</v>
      </c>
      <c r="C9" s="22"/>
      <c r="D9" s="21"/>
      <c r="E9" s="21"/>
      <c r="F9" s="8"/>
      <c r="G9" s="15"/>
      <c r="H9" s="8"/>
      <c r="I9" s="8"/>
      <c r="J9" s="8"/>
      <c r="K9" s="8"/>
    </row>
    <row r="10" spans="1:19" x14ac:dyDescent="0.25">
      <c r="A10" s="16"/>
      <c r="B10" s="17" t="s">
        <v>6</v>
      </c>
      <c r="C10" s="20"/>
      <c r="D10" s="21"/>
      <c r="E10" s="21"/>
      <c r="F10" s="8"/>
      <c r="G10" s="15"/>
      <c r="H10" s="8"/>
      <c r="I10" s="8"/>
      <c r="J10" s="8"/>
      <c r="K10" s="8"/>
    </row>
    <row r="11" spans="1:19" x14ac:dyDescent="0.25">
      <c r="A11" s="16"/>
      <c r="B11" s="17" t="s">
        <v>7</v>
      </c>
      <c r="C11" s="20"/>
      <c r="D11" s="21"/>
      <c r="E11" s="21"/>
      <c r="F11" s="8"/>
      <c r="G11" s="15"/>
      <c r="H11" s="8"/>
      <c r="I11" s="8"/>
      <c r="J11" s="8"/>
      <c r="K11" s="8"/>
    </row>
    <row r="12" spans="1:19" x14ac:dyDescent="0.25">
      <c r="A12" s="23"/>
      <c r="B12" s="23"/>
      <c r="C12" s="24"/>
      <c r="D12" s="21"/>
      <c r="E12" s="21"/>
      <c r="F12" s="8"/>
      <c r="G12" s="8"/>
      <c r="H12" s="8"/>
      <c r="I12" s="8"/>
      <c r="J12" s="8"/>
      <c r="K12" s="8"/>
    </row>
    <row r="13" spans="1:19" x14ac:dyDescent="0.25">
      <c r="A13" s="25"/>
      <c r="B13" s="25"/>
      <c r="C13" s="26"/>
      <c r="D13" s="21"/>
      <c r="E13" s="21"/>
      <c r="F13" s="8"/>
      <c r="G13" s="8"/>
      <c r="H13" s="8"/>
      <c r="I13" s="8"/>
      <c r="J13" s="8"/>
      <c r="K13" s="8"/>
    </row>
    <row r="14" spans="1:19" x14ac:dyDescent="0.25">
      <c r="A14" s="89" t="s">
        <v>8</v>
      </c>
      <c r="B14" s="89"/>
      <c r="C14" s="89"/>
      <c r="D14" s="89"/>
      <c r="E14" s="89"/>
      <c r="F14" s="89"/>
      <c r="G14" s="8"/>
      <c r="H14" s="8"/>
      <c r="I14" s="8"/>
      <c r="J14" s="8"/>
      <c r="K14" s="8"/>
      <c r="L14" s="8"/>
      <c r="M14" s="66"/>
      <c r="N14" s="66"/>
      <c r="O14" s="66"/>
      <c r="P14" s="66"/>
      <c r="Q14" s="66"/>
      <c r="R14" s="66"/>
      <c r="S14" s="66"/>
    </row>
    <row r="15" spans="1:19" ht="16.5" x14ac:dyDescent="0.25">
      <c r="A15" s="60" t="s">
        <v>9</v>
      </c>
      <c r="B15" s="60" t="s">
        <v>10</v>
      </c>
      <c r="C15" s="60" t="s">
        <v>11</v>
      </c>
      <c r="D15" s="60" t="s">
        <v>12</v>
      </c>
      <c r="E15" s="60" t="s">
        <v>13</v>
      </c>
      <c r="F15" s="60" t="s">
        <v>14</v>
      </c>
      <c r="G15" s="8"/>
      <c r="H15" s="8"/>
      <c r="I15" s="8"/>
      <c r="J15" s="8"/>
      <c r="K15" s="8"/>
      <c r="L15" s="8"/>
      <c r="M15" s="66"/>
      <c r="N15" s="67"/>
      <c r="O15" s="68"/>
      <c r="P15" s="66"/>
      <c r="Q15" s="66"/>
      <c r="R15" s="66"/>
      <c r="S15" s="66"/>
    </row>
    <row r="16" spans="1:19" x14ac:dyDescent="0.25">
      <c r="A16" s="29" t="s">
        <v>15</v>
      </c>
      <c r="B16" s="30"/>
      <c r="C16" s="30"/>
      <c r="D16" s="30"/>
      <c r="E16" s="30"/>
      <c r="F16" s="30"/>
      <c r="G16" s="8"/>
      <c r="H16" s="8"/>
      <c r="I16" s="8"/>
      <c r="J16" s="8"/>
      <c r="K16" s="8"/>
      <c r="L16" s="8"/>
      <c r="M16" s="66"/>
      <c r="N16" s="67"/>
      <c r="O16" s="68"/>
      <c r="P16" s="66"/>
      <c r="Q16" s="66"/>
      <c r="R16" s="66"/>
      <c r="S16" s="66"/>
    </row>
    <row r="17" spans="1:19" x14ac:dyDescent="0.25">
      <c r="A17" s="29" t="s">
        <v>16</v>
      </c>
      <c r="B17" s="30"/>
      <c r="C17" s="30"/>
      <c r="D17" s="30"/>
      <c r="E17" s="30"/>
      <c r="F17" s="30"/>
      <c r="G17" s="8"/>
      <c r="H17" s="8"/>
      <c r="I17" s="8"/>
      <c r="J17" s="8"/>
      <c r="K17" s="8"/>
      <c r="L17" s="8"/>
      <c r="M17" s="66"/>
      <c r="N17" s="67"/>
      <c r="O17" s="68"/>
      <c r="P17" s="66"/>
      <c r="Q17" s="66"/>
      <c r="R17" s="66"/>
      <c r="S17" s="66"/>
    </row>
    <row r="18" spans="1:19" x14ac:dyDescent="0.25">
      <c r="A18" s="29" t="s">
        <v>17</v>
      </c>
      <c r="B18" s="30"/>
      <c r="C18" s="30"/>
      <c r="D18" s="30"/>
      <c r="E18" s="30"/>
      <c r="F18" s="30"/>
      <c r="G18" s="8"/>
      <c r="H18" s="8"/>
      <c r="I18" s="8"/>
      <c r="J18" s="8"/>
      <c r="K18" s="8"/>
      <c r="L18" s="8"/>
      <c r="M18" s="66"/>
      <c r="N18" s="67"/>
      <c r="O18" s="68"/>
      <c r="P18" s="66"/>
      <c r="Q18" s="66"/>
      <c r="R18" s="66"/>
      <c r="S18" s="66"/>
    </row>
    <row r="19" spans="1:19" x14ac:dyDescent="0.25">
      <c r="A19" s="29" t="s">
        <v>18</v>
      </c>
      <c r="B19" s="30"/>
      <c r="C19" s="30"/>
      <c r="D19" s="30"/>
      <c r="E19" s="30"/>
      <c r="F19" s="30"/>
      <c r="G19" s="8"/>
      <c r="H19" s="8"/>
      <c r="I19" s="8"/>
      <c r="J19" s="8"/>
      <c r="K19" s="8"/>
      <c r="L19" s="8"/>
      <c r="M19" s="66"/>
      <c r="N19" s="67"/>
      <c r="O19" s="68"/>
      <c r="P19" s="66"/>
      <c r="Q19" s="66"/>
      <c r="R19" s="66"/>
      <c r="S19" s="66"/>
    </row>
    <row r="20" spans="1:19" x14ac:dyDescent="0.25">
      <c r="A20" s="31" t="s">
        <v>19</v>
      </c>
      <c r="B20" s="90"/>
      <c r="C20" s="90"/>
      <c r="D20" s="90"/>
      <c r="E20" s="90"/>
      <c r="F20" s="90"/>
      <c r="G20" s="8"/>
      <c r="H20" s="8"/>
      <c r="I20" s="8"/>
      <c r="J20" s="8"/>
      <c r="K20" s="8"/>
      <c r="L20" s="8"/>
      <c r="M20" s="66"/>
      <c r="N20" s="67"/>
      <c r="O20" s="68"/>
      <c r="P20" s="66"/>
      <c r="Q20" s="66"/>
      <c r="R20" s="66"/>
      <c r="S20" s="66"/>
    </row>
    <row r="21" spans="1:19" x14ac:dyDescent="0.25">
      <c r="A21" s="32"/>
      <c r="B21" s="32"/>
      <c r="C21" s="33"/>
      <c r="D21" s="34"/>
      <c r="E21" s="34"/>
      <c r="F21" s="8"/>
      <c r="G21" s="8"/>
      <c r="H21" s="8"/>
      <c r="I21" s="8"/>
      <c r="J21" s="8"/>
      <c r="K21" s="8"/>
      <c r="L21" s="8"/>
      <c r="M21" s="66"/>
      <c r="N21" s="67"/>
      <c r="O21" s="68"/>
      <c r="P21" s="66"/>
      <c r="Q21" s="66"/>
      <c r="R21" s="66"/>
      <c r="S21" s="66"/>
    </row>
    <row r="22" spans="1:19" x14ac:dyDescent="0.25">
      <c r="A22" s="80" t="s">
        <v>20</v>
      </c>
      <c r="B22" s="81"/>
      <c r="C22" s="81"/>
      <c r="D22" s="81"/>
      <c r="E22" s="81"/>
      <c r="F22" s="81"/>
      <c r="G22" s="81"/>
      <c r="H22" s="82"/>
      <c r="I22" s="8"/>
      <c r="J22" s="8"/>
      <c r="K22" s="27"/>
      <c r="L22" s="28"/>
      <c r="M22" s="66"/>
      <c r="N22" s="66"/>
      <c r="O22" s="66"/>
      <c r="P22" s="66"/>
      <c r="Q22" s="66"/>
      <c r="R22" s="66"/>
      <c r="S22" s="66"/>
    </row>
    <row r="23" spans="1:19" ht="56.25" x14ac:dyDescent="0.25">
      <c r="A23" s="61" t="s">
        <v>21</v>
      </c>
      <c r="B23" s="61" t="s">
        <v>22</v>
      </c>
      <c r="C23" s="61" t="s">
        <v>23</v>
      </c>
      <c r="D23" s="61" t="s">
        <v>24</v>
      </c>
      <c r="E23" s="61" t="s">
        <v>25</v>
      </c>
      <c r="F23" s="61" t="s">
        <v>26</v>
      </c>
      <c r="G23" s="61" t="s">
        <v>27</v>
      </c>
      <c r="H23" s="61" t="s">
        <v>28</v>
      </c>
      <c r="I23" s="8"/>
      <c r="J23" s="8"/>
      <c r="K23" s="27"/>
      <c r="L23" s="28"/>
      <c r="M23" s="66"/>
      <c r="N23" s="66"/>
      <c r="O23" s="66"/>
      <c r="P23" s="66"/>
      <c r="Q23" s="66"/>
      <c r="R23" s="66"/>
      <c r="S23" s="66"/>
    </row>
    <row r="24" spans="1:19" x14ac:dyDescent="0.25">
      <c r="A24" s="35" t="e" cm="1">
        <f t="array" ref="A24">LOOKUP(2,1/(H28:H31&lt;&gt;""),H28:H31)</f>
        <v>#N/A</v>
      </c>
      <c r="B24" s="35" t="e" cm="1">
        <f t="array" ref="B24">LOOKUP(2,1/(I28:I31&lt;&gt;""),I28:I31)</f>
        <v>#N/A</v>
      </c>
      <c r="C24" s="35" t="e" cm="1">
        <f t="array" ref="C24">LOOKUP(2,1/(J28:J31&lt;&gt;""),J28:J31)</f>
        <v>#N/A</v>
      </c>
      <c r="D24" s="35" t="e" cm="1">
        <f t="array" ref="D24">LOOKUP(2,1/(K28:K31&lt;&gt;""),K28:K31)</f>
        <v>#N/A</v>
      </c>
      <c r="E24" s="36">
        <v>1</v>
      </c>
      <c r="F24" s="36">
        <v>1</v>
      </c>
      <c r="G24" s="37">
        <v>0</v>
      </c>
      <c r="H24" s="37">
        <v>0</v>
      </c>
      <c r="I24" s="8"/>
      <c r="J24" s="8"/>
      <c r="K24" s="27"/>
      <c r="L24" s="28"/>
      <c r="M24" s="66"/>
      <c r="N24" s="66"/>
      <c r="O24" s="66"/>
      <c r="P24" s="66"/>
      <c r="Q24" s="66"/>
      <c r="R24" s="66"/>
      <c r="S24" s="66"/>
    </row>
    <row r="25" spans="1:19" x14ac:dyDescent="0.25">
      <c r="G25" s="8"/>
      <c r="H25" s="8"/>
      <c r="I25" s="8"/>
      <c r="J25" s="8"/>
      <c r="K25" s="8"/>
      <c r="L25" s="8"/>
      <c r="M25" s="66"/>
      <c r="N25" s="67"/>
      <c r="O25" s="68"/>
      <c r="P25" s="66"/>
      <c r="Q25" s="66"/>
      <c r="R25" s="66"/>
      <c r="S25" s="66"/>
    </row>
    <row r="26" spans="1:19" x14ac:dyDescent="0.25">
      <c r="A26" s="83" t="s">
        <v>29</v>
      </c>
      <c r="B26" s="84"/>
      <c r="C26" s="84"/>
      <c r="D26" s="84"/>
      <c r="E26" s="84"/>
      <c r="F26" s="84"/>
      <c r="G26" s="84"/>
      <c r="H26" s="84"/>
      <c r="I26" s="84"/>
      <c r="J26" s="84"/>
      <c r="K26" s="85"/>
      <c r="L26" s="8"/>
      <c r="M26" s="66"/>
      <c r="N26" s="69" t="str">
        <f>I27</f>
        <v>Performance Index (%)</v>
      </c>
      <c r="O26" s="68"/>
      <c r="P26" s="66"/>
      <c r="Q26" s="66"/>
      <c r="R26" s="66"/>
      <c r="S26" s="66"/>
    </row>
    <row r="27" spans="1:19" ht="24.75" x14ac:dyDescent="0.25">
      <c r="A27" s="60" t="s">
        <v>30</v>
      </c>
      <c r="B27" s="60" t="s">
        <v>31</v>
      </c>
      <c r="C27" s="60" t="s">
        <v>32</v>
      </c>
      <c r="D27" s="60" t="s">
        <v>33</v>
      </c>
      <c r="E27" s="60" t="s">
        <v>34</v>
      </c>
      <c r="F27" s="60" t="s">
        <v>35</v>
      </c>
      <c r="G27" s="60" t="s">
        <v>36</v>
      </c>
      <c r="H27" s="60" t="s">
        <v>21</v>
      </c>
      <c r="I27" s="60" t="s">
        <v>22</v>
      </c>
      <c r="J27" s="60" t="s">
        <v>23</v>
      </c>
      <c r="K27" s="60" t="s">
        <v>24</v>
      </c>
      <c r="L27" s="8"/>
      <c r="M27" s="70"/>
      <c r="N27" s="70" t="s">
        <v>0</v>
      </c>
      <c r="O27" s="70" t="s">
        <v>37</v>
      </c>
      <c r="P27" s="66"/>
      <c r="Q27" s="66"/>
      <c r="R27" s="66"/>
      <c r="S27" s="66"/>
    </row>
    <row r="28" spans="1:19" x14ac:dyDescent="0.25">
      <c r="A28" s="29" t="s">
        <v>15</v>
      </c>
      <c r="B28" s="38"/>
      <c r="C28" s="39"/>
      <c r="D28" s="39" t="str">
        <f>IF(B28="","",J28*C28)</f>
        <v/>
      </c>
      <c r="E28" s="39"/>
      <c r="F28" s="39" t="str">
        <f>IF(E28="", "", 319500)</f>
        <v/>
      </c>
      <c r="G28" s="39" t="str">
        <f>IF(B28="","",D29-B28)</f>
        <v/>
      </c>
      <c r="H28" s="40" t="str">
        <f>IF(B28="","",B28/C28)</f>
        <v/>
      </c>
      <c r="I28" s="40" t="str">
        <f>IF(B28="","",B28/D29)</f>
        <v/>
      </c>
      <c r="J28" s="40" t="str">
        <f>IF(B28="","",E28/F28)</f>
        <v/>
      </c>
      <c r="K28" s="40"/>
      <c r="L28" s="8"/>
      <c r="M28" s="70" t="str">
        <f>A28</f>
        <v>Q1</v>
      </c>
      <c r="N28" s="71" t="e">
        <f>IF(I28="",NA(),I28)</f>
        <v>#N/A</v>
      </c>
      <c r="O28" s="72" t="e">
        <f>IF(OR(I28="",I28=0),NA(),AVERAGE(I$28:I28))</f>
        <v>#N/A</v>
      </c>
      <c r="P28" s="66">
        <v>1</v>
      </c>
      <c r="Q28" s="66">
        <v>3</v>
      </c>
      <c r="R28" s="66"/>
      <c r="S28" s="66"/>
    </row>
    <row r="29" spans="1:19" x14ac:dyDescent="0.25">
      <c r="A29" s="29" t="s">
        <v>16</v>
      </c>
      <c r="B29" s="39"/>
      <c r="C29" s="39"/>
      <c r="D29" s="39" t="str">
        <f t="shared" ref="D29:D31" si="0">IF(B29="","",J29*C29)</f>
        <v/>
      </c>
      <c r="E29" s="39"/>
      <c r="F29" s="39" t="str">
        <f>IF(E29="", "", 551100)</f>
        <v/>
      </c>
      <c r="G29" s="39" t="str">
        <f>IF(B29="","",#REF!-B29)</f>
        <v/>
      </c>
      <c r="H29" s="40" t="str">
        <f t="shared" ref="H29:H31" si="1">IF(B29="","",B29/C29)</f>
        <v/>
      </c>
      <c r="I29" s="40" t="str">
        <f>IF(B29="","",B29/#REF!)</f>
        <v/>
      </c>
      <c r="J29" s="40" t="str">
        <f t="shared" ref="J29:J31" si="2">IF(B29="","",E29/F29)</f>
        <v/>
      </c>
      <c r="K29" s="40"/>
      <c r="L29" s="8"/>
      <c r="M29" s="70" t="str">
        <f t="shared" ref="M29:M31" si="3">A29</f>
        <v>Q2</v>
      </c>
      <c r="N29" s="71" t="e">
        <f t="shared" ref="N29:N31" si="4">IF(I29="",NA(),I29)</f>
        <v>#N/A</v>
      </c>
      <c r="O29" s="72" t="e">
        <f>IF(OR(I29="",I29=0),NA(),AVERAGE(I$28:I29))</f>
        <v>#N/A</v>
      </c>
      <c r="P29" s="66">
        <v>4</v>
      </c>
      <c r="Q29" s="66">
        <v>6</v>
      </c>
      <c r="R29" s="66"/>
      <c r="S29" s="66"/>
    </row>
    <row r="30" spans="1:19" x14ac:dyDescent="0.25">
      <c r="A30" s="29" t="s">
        <v>17</v>
      </c>
      <c r="B30" s="39"/>
      <c r="C30" s="39"/>
      <c r="D30" s="39" t="str">
        <f t="shared" si="0"/>
        <v/>
      </c>
      <c r="E30" s="39"/>
      <c r="F30" s="39" t="str">
        <f>IF(E30="", "", 503100)</f>
        <v/>
      </c>
      <c r="G30" s="39" t="str">
        <f t="shared" ref="G30:G31" si="5">IF(B30="","",D30-B30)</f>
        <v/>
      </c>
      <c r="H30" s="40" t="str">
        <f t="shared" si="1"/>
        <v/>
      </c>
      <c r="I30" s="40" t="str">
        <f t="shared" ref="I30:I31" si="6">IF(B30="","",B30/D30)</f>
        <v/>
      </c>
      <c r="J30" s="40" t="str">
        <f t="shared" si="2"/>
        <v/>
      </c>
      <c r="K30" s="41"/>
      <c r="L30" s="8"/>
      <c r="M30" s="70" t="str">
        <f t="shared" si="3"/>
        <v>Q3</v>
      </c>
      <c r="N30" s="71" t="e">
        <f t="shared" si="4"/>
        <v>#N/A</v>
      </c>
      <c r="O30" s="72" t="e">
        <f>IF(OR(I30="",I30=0),NA(),AVERAGE(I$28:I30))</f>
        <v>#N/A</v>
      </c>
      <c r="P30" s="66">
        <v>7</v>
      </c>
      <c r="Q30" s="66">
        <v>9</v>
      </c>
      <c r="R30" s="66"/>
      <c r="S30" s="66"/>
    </row>
    <row r="31" spans="1:19" x14ac:dyDescent="0.25">
      <c r="A31" s="29" t="s">
        <v>18</v>
      </c>
      <c r="B31" s="39"/>
      <c r="C31" s="39"/>
      <c r="D31" s="39" t="str">
        <f t="shared" si="0"/>
        <v/>
      </c>
      <c r="E31" s="39"/>
      <c r="F31" s="39" t="str">
        <f>IF(E31="", "", 271000)</f>
        <v/>
      </c>
      <c r="G31" s="39" t="str">
        <f t="shared" si="5"/>
        <v/>
      </c>
      <c r="H31" s="40" t="str">
        <f t="shared" si="1"/>
        <v/>
      </c>
      <c r="I31" s="40" t="str">
        <f t="shared" si="6"/>
        <v/>
      </c>
      <c r="J31" s="40" t="str">
        <f t="shared" si="2"/>
        <v/>
      </c>
      <c r="K31" s="41"/>
      <c r="L31" s="8"/>
      <c r="M31" s="70" t="str">
        <f t="shared" si="3"/>
        <v>Q4</v>
      </c>
      <c r="N31" s="71" t="e">
        <f t="shared" si="4"/>
        <v>#N/A</v>
      </c>
      <c r="O31" s="72" t="e">
        <f>IF(OR(I31="",I31=0),NA(),AVERAGE(I$28:I31))</f>
        <v>#N/A</v>
      </c>
      <c r="P31" s="66">
        <v>10</v>
      </c>
      <c r="Q31" s="66">
        <v>12</v>
      </c>
      <c r="R31" s="66"/>
      <c r="S31" s="66"/>
    </row>
    <row r="32" spans="1:19" x14ac:dyDescent="0.25">
      <c r="A32" s="63" t="s">
        <v>37</v>
      </c>
      <c r="B32" s="64">
        <f>SUM(B28:B31)</f>
        <v>0</v>
      </c>
      <c r="C32" s="64">
        <f t="shared" ref="C32:G32" si="7">SUM(C28:C31)</f>
        <v>0</v>
      </c>
      <c r="D32" s="64">
        <f>SUM(D29:D31)</f>
        <v>0</v>
      </c>
      <c r="E32" s="64">
        <f t="shared" si="7"/>
        <v>0</v>
      </c>
      <c r="F32" s="64">
        <f t="shared" si="7"/>
        <v>0</v>
      </c>
      <c r="G32" s="64">
        <f t="shared" si="7"/>
        <v>0</v>
      </c>
      <c r="H32" s="65" t="str">
        <f>IFERROR(AVERAGE(H28:H31),"")</f>
        <v/>
      </c>
      <c r="I32" s="65" t="str">
        <f t="shared" ref="I32:K32" si="8">IFERROR(AVERAGE(I28:I31),"")</f>
        <v/>
      </c>
      <c r="J32" s="65" t="str">
        <f t="shared" si="8"/>
        <v/>
      </c>
      <c r="K32" s="65" t="str">
        <f t="shared" si="8"/>
        <v/>
      </c>
      <c r="L32" s="8"/>
      <c r="M32" s="70"/>
      <c r="N32" s="70"/>
      <c r="O32" s="70"/>
      <c r="P32" s="66"/>
      <c r="Q32" s="66"/>
      <c r="R32" s="66"/>
      <c r="S32" s="66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8"/>
      <c r="M33" s="66"/>
      <c r="N33" s="66"/>
      <c r="O33" s="66"/>
      <c r="P33" s="66"/>
      <c r="Q33" s="66"/>
      <c r="R33" s="66"/>
      <c r="S33" s="66"/>
    </row>
    <row r="34" spans="1:19" x14ac:dyDescent="0.25">
      <c r="A34" s="86" t="s">
        <v>38</v>
      </c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"/>
      <c r="M34" s="66"/>
      <c r="N34" s="66"/>
      <c r="O34" s="66"/>
      <c r="P34" s="66"/>
      <c r="Q34" s="66"/>
      <c r="R34" s="66"/>
      <c r="S34" s="66"/>
    </row>
    <row r="35" spans="1:19" x14ac:dyDescent="0.25">
      <c r="A35" s="60" t="s">
        <v>39</v>
      </c>
      <c r="B35" s="60" t="s">
        <v>40</v>
      </c>
      <c r="C35" s="60" t="s">
        <v>41</v>
      </c>
      <c r="D35" s="60" t="s">
        <v>42</v>
      </c>
      <c r="E35" s="60" t="s">
        <v>43</v>
      </c>
      <c r="F35" s="60" t="s">
        <v>44</v>
      </c>
      <c r="G35" s="73" t="s">
        <v>45</v>
      </c>
      <c r="H35" s="73"/>
      <c r="I35" s="73"/>
      <c r="J35" s="73"/>
      <c r="K35" s="73"/>
      <c r="L35" s="8"/>
      <c r="M35" s="66"/>
      <c r="N35" s="66"/>
      <c r="O35" s="66"/>
      <c r="P35" s="66"/>
      <c r="Q35" s="66"/>
      <c r="R35" s="66"/>
      <c r="S35" s="66"/>
    </row>
    <row r="36" spans="1:19" x14ac:dyDescent="0.25">
      <c r="A36" s="42"/>
      <c r="B36" s="43"/>
      <c r="C36" s="44"/>
      <c r="D36" s="44"/>
      <c r="E36" s="45"/>
      <c r="F36" s="45"/>
      <c r="G36" s="87" t="s">
        <v>46</v>
      </c>
      <c r="H36" s="87"/>
      <c r="I36" s="87"/>
      <c r="J36" s="87"/>
      <c r="K36" s="87"/>
      <c r="L36" s="8"/>
      <c r="M36" s="66"/>
      <c r="N36" s="66"/>
      <c r="O36" s="66"/>
      <c r="P36" s="66"/>
      <c r="Q36" s="66"/>
      <c r="R36" s="66"/>
      <c r="S36" s="66"/>
    </row>
    <row r="37" spans="1:19" x14ac:dyDescent="0.25">
      <c r="A37" s="46"/>
      <c r="B37" s="46"/>
      <c r="C37" s="47"/>
      <c r="D37" s="48"/>
      <c r="E37" s="49"/>
      <c r="F37" s="50"/>
      <c r="G37" s="50"/>
      <c r="H37" s="50"/>
      <c r="I37" s="50"/>
      <c r="J37" s="50"/>
      <c r="K37" s="50"/>
      <c r="L37" s="8"/>
      <c r="M37" s="66"/>
      <c r="N37" s="66"/>
      <c r="O37" s="66"/>
      <c r="P37" s="66"/>
      <c r="Q37" s="66"/>
      <c r="R37" s="66"/>
      <c r="S37" s="66"/>
    </row>
    <row r="38" spans="1:19" x14ac:dyDescent="0.25">
      <c r="A38" s="86" t="s">
        <v>47</v>
      </c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"/>
      <c r="M38" s="66"/>
      <c r="N38" s="66"/>
      <c r="O38" s="66"/>
      <c r="P38" s="66"/>
      <c r="Q38" s="66"/>
      <c r="R38" s="66"/>
      <c r="S38" s="66"/>
    </row>
    <row r="39" spans="1:19" x14ac:dyDescent="0.25">
      <c r="A39" s="60" t="s">
        <v>39</v>
      </c>
      <c r="B39" s="60" t="s">
        <v>40</v>
      </c>
      <c r="C39" s="60" t="s">
        <v>48</v>
      </c>
      <c r="D39" s="60" t="s">
        <v>49</v>
      </c>
      <c r="E39" s="73" t="s">
        <v>44</v>
      </c>
      <c r="F39" s="73"/>
      <c r="G39" s="73"/>
      <c r="H39" s="73"/>
      <c r="I39" s="73"/>
      <c r="J39" s="73"/>
      <c r="K39" s="73"/>
      <c r="L39" s="8"/>
      <c r="M39" s="66"/>
      <c r="N39" s="66"/>
      <c r="O39" s="66"/>
      <c r="P39" s="66"/>
      <c r="Q39" s="66"/>
      <c r="R39" s="66"/>
      <c r="S39" s="66"/>
    </row>
    <row r="40" spans="1:19" x14ac:dyDescent="0.25">
      <c r="A40" s="42"/>
      <c r="B40" s="43"/>
      <c r="C40" s="44"/>
      <c r="D40" s="44"/>
      <c r="E40" s="74" t="s">
        <v>46</v>
      </c>
      <c r="F40" s="75"/>
      <c r="G40" s="75"/>
      <c r="H40" s="75"/>
      <c r="I40" s="75"/>
      <c r="J40" s="75"/>
      <c r="K40" s="76"/>
      <c r="L40" s="8"/>
      <c r="M40" s="66"/>
      <c r="N40" s="66"/>
      <c r="O40" s="66"/>
      <c r="P40" s="66"/>
      <c r="Q40" s="66"/>
      <c r="R40" s="66"/>
      <c r="S40" s="66"/>
    </row>
    <row r="41" spans="1:19" x14ac:dyDescent="0.25">
      <c r="A41" s="46"/>
      <c r="B41" s="46"/>
      <c r="C41" s="47"/>
      <c r="D41" s="48"/>
      <c r="E41" s="49"/>
      <c r="F41" s="50"/>
      <c r="G41" s="50"/>
      <c r="H41" s="50"/>
      <c r="I41" s="50"/>
      <c r="J41" s="50"/>
      <c r="K41" s="50"/>
      <c r="L41" s="8"/>
      <c r="M41" s="66"/>
      <c r="N41" s="66"/>
      <c r="O41" s="66"/>
      <c r="P41" s="66"/>
      <c r="Q41" s="66"/>
      <c r="R41" s="66"/>
      <c r="S41" s="66"/>
    </row>
    <row r="42" spans="1:19" x14ac:dyDescent="0.25">
      <c r="A42" s="58" t="s">
        <v>50</v>
      </c>
      <c r="B42" s="57"/>
      <c r="C42" s="57"/>
      <c r="D42" s="57"/>
      <c r="E42" s="57"/>
      <c r="F42" s="57"/>
      <c r="G42" s="57"/>
      <c r="H42" s="57"/>
      <c r="I42" s="57"/>
      <c r="J42" s="57"/>
      <c r="K42" s="59"/>
      <c r="L42" s="8"/>
      <c r="M42" s="66"/>
      <c r="N42" s="66"/>
      <c r="O42" s="66"/>
      <c r="P42" s="66"/>
      <c r="Q42" s="66"/>
      <c r="R42" s="66"/>
      <c r="S42" s="66"/>
    </row>
    <row r="43" spans="1:19" x14ac:dyDescent="0.25">
      <c r="A43" s="62" t="s">
        <v>51</v>
      </c>
      <c r="B43" s="62" t="s">
        <v>40</v>
      </c>
      <c r="C43" s="62" t="s">
        <v>52</v>
      </c>
      <c r="D43" s="62" t="s">
        <v>53</v>
      </c>
      <c r="E43" s="77" t="s">
        <v>54</v>
      </c>
      <c r="F43" s="78"/>
      <c r="G43" s="78"/>
      <c r="H43" s="78"/>
      <c r="I43" s="78"/>
      <c r="J43" s="78"/>
      <c r="K43" s="79"/>
      <c r="L43" s="8"/>
      <c r="M43" s="66"/>
      <c r="N43" s="66"/>
      <c r="O43" s="66"/>
      <c r="P43" s="66"/>
      <c r="Q43" s="66"/>
      <c r="R43" s="66"/>
      <c r="S43" s="66"/>
    </row>
    <row r="44" spans="1:19" x14ac:dyDescent="0.25">
      <c r="A44" s="51"/>
      <c r="B44" s="42"/>
      <c r="C44" s="44"/>
      <c r="D44" s="52"/>
      <c r="E44" s="74" t="s">
        <v>55</v>
      </c>
      <c r="F44" s="75"/>
      <c r="G44" s="75"/>
      <c r="H44" s="75"/>
      <c r="I44" s="75"/>
      <c r="J44" s="75"/>
      <c r="K44" s="76"/>
      <c r="L44" s="8"/>
      <c r="M44" s="66"/>
      <c r="N44" s="66"/>
      <c r="O44" s="66"/>
      <c r="P44" s="66"/>
      <c r="Q44" s="66"/>
      <c r="R44" s="66"/>
      <c r="S44" s="66"/>
    </row>
    <row r="45" spans="1:19" x14ac:dyDescent="0.25">
      <c r="A45" s="53" t="s">
        <v>56</v>
      </c>
      <c r="B45" s="54"/>
      <c r="C45" s="54"/>
      <c r="D45" s="54"/>
      <c r="E45" s="10"/>
      <c r="F45" s="10"/>
      <c r="G45" s="10"/>
      <c r="H45" s="10"/>
      <c r="I45" s="10"/>
      <c r="J45" s="10"/>
      <c r="K45" s="10"/>
      <c r="L45" s="8"/>
      <c r="M45" s="66"/>
      <c r="N45" s="66"/>
      <c r="O45" s="66"/>
      <c r="P45" s="66"/>
      <c r="Q45" s="66"/>
      <c r="R45" s="66"/>
      <c r="S45" s="66"/>
    </row>
    <row r="46" spans="1:19" x14ac:dyDescent="0.25">
      <c r="A46" s="54"/>
      <c r="B46" s="54"/>
      <c r="C46" s="54"/>
      <c r="D46" s="54"/>
      <c r="E46" s="10"/>
      <c r="F46" s="10"/>
      <c r="G46" s="10"/>
      <c r="H46" s="10"/>
      <c r="I46" s="10"/>
      <c r="J46" s="10"/>
      <c r="K46" s="10"/>
      <c r="L46" s="8"/>
      <c r="M46" s="66"/>
      <c r="N46" s="66"/>
      <c r="O46" s="66"/>
      <c r="P46" s="66"/>
      <c r="Q46" s="66"/>
      <c r="R46" s="66"/>
      <c r="S46" s="66"/>
    </row>
    <row r="47" spans="1:19" x14ac:dyDescent="0.25">
      <c r="A47" s="54"/>
      <c r="B47" s="54"/>
      <c r="C47" s="54"/>
      <c r="D47" s="54"/>
      <c r="E47" s="10"/>
      <c r="F47" s="10"/>
      <c r="G47" s="10"/>
      <c r="H47" s="10"/>
      <c r="I47" s="10"/>
      <c r="J47" s="10"/>
      <c r="K47" s="10"/>
      <c r="L47" s="8"/>
      <c r="M47" s="66"/>
      <c r="N47" s="66"/>
      <c r="O47" s="66"/>
      <c r="P47" s="66"/>
      <c r="Q47" s="66"/>
      <c r="R47" s="66"/>
      <c r="S47" s="66"/>
    </row>
    <row r="48" spans="1:19" x14ac:dyDescent="0.25">
      <c r="A48" s="54"/>
      <c r="B48" s="54"/>
      <c r="C48" s="54"/>
      <c r="D48" s="54"/>
      <c r="E48" s="10"/>
      <c r="F48" s="10"/>
      <c r="G48" s="10"/>
      <c r="H48" s="10"/>
      <c r="I48" s="10"/>
      <c r="J48" s="10"/>
      <c r="K48" s="10"/>
      <c r="L48" s="8"/>
      <c r="M48" s="66"/>
      <c r="N48" s="66"/>
      <c r="O48" s="66"/>
      <c r="P48" s="66"/>
      <c r="Q48" s="66"/>
      <c r="R48" s="66"/>
      <c r="S48" s="66"/>
    </row>
    <row r="49" spans="1:19" x14ac:dyDescent="0.25">
      <c r="A49" s="54"/>
      <c r="B49" s="54"/>
      <c r="C49" s="54"/>
      <c r="D49" s="54"/>
      <c r="E49" s="10"/>
      <c r="F49" s="10"/>
      <c r="G49" s="10"/>
      <c r="H49" s="10"/>
      <c r="I49" s="10"/>
      <c r="J49" s="10"/>
      <c r="K49" s="10"/>
      <c r="L49" s="8"/>
      <c r="M49" s="66"/>
      <c r="N49" s="66"/>
      <c r="O49" s="66"/>
      <c r="P49" s="66"/>
      <c r="Q49" s="66"/>
      <c r="R49" s="66"/>
      <c r="S49" s="66"/>
    </row>
    <row r="50" spans="1:19" x14ac:dyDescent="0.25">
      <c r="A50" s="54"/>
      <c r="B50" s="54"/>
      <c r="C50" s="54"/>
      <c r="D50" s="54"/>
      <c r="E50" s="10"/>
      <c r="F50" s="10"/>
      <c r="G50" s="10"/>
      <c r="H50" s="10"/>
      <c r="I50" s="10"/>
      <c r="J50" s="10"/>
      <c r="K50" s="10"/>
      <c r="L50" s="8"/>
      <c r="M50" s="66"/>
      <c r="N50" s="66"/>
      <c r="O50" s="66"/>
      <c r="P50" s="66"/>
      <c r="Q50" s="66"/>
      <c r="R50" s="66"/>
      <c r="S50" s="66"/>
    </row>
    <row r="51" spans="1:19" x14ac:dyDescent="0.25">
      <c r="A51" s="54"/>
      <c r="B51" s="54"/>
      <c r="C51" s="54"/>
      <c r="D51" s="54"/>
      <c r="E51" s="10"/>
      <c r="F51" s="10"/>
      <c r="G51" s="10"/>
      <c r="H51" s="10"/>
      <c r="I51" s="10"/>
      <c r="J51" s="10"/>
      <c r="K51" s="10"/>
      <c r="L51" s="8"/>
      <c r="M51" s="66"/>
      <c r="N51" s="66"/>
      <c r="O51" s="66"/>
      <c r="P51" s="66"/>
      <c r="Q51" s="66"/>
      <c r="R51" s="66"/>
      <c r="S51" s="66"/>
    </row>
    <row r="52" spans="1:19" x14ac:dyDescent="0.25">
      <c r="A52" s="54"/>
      <c r="B52" s="54"/>
      <c r="C52" s="54"/>
      <c r="D52" s="54"/>
      <c r="E52" s="10"/>
      <c r="F52" s="10"/>
      <c r="G52" s="10"/>
      <c r="H52" s="10"/>
      <c r="I52" s="10"/>
      <c r="J52" s="10"/>
      <c r="K52" s="10"/>
      <c r="L52" s="8"/>
      <c r="M52" s="66"/>
      <c r="N52" s="66"/>
      <c r="O52" s="66"/>
      <c r="P52" s="66"/>
      <c r="Q52" s="66"/>
      <c r="R52" s="66"/>
      <c r="S52" s="66"/>
    </row>
    <row r="53" spans="1:19" x14ac:dyDescent="0.25">
      <c r="A53" s="54"/>
      <c r="B53" s="54"/>
      <c r="C53" s="54"/>
      <c r="D53" s="54"/>
      <c r="E53" s="10"/>
      <c r="F53" s="10"/>
      <c r="G53" s="10"/>
      <c r="H53" s="10"/>
      <c r="I53" s="10"/>
      <c r="J53" s="10"/>
      <c r="K53" s="10"/>
      <c r="L53" s="8"/>
      <c r="M53" s="66"/>
      <c r="N53" s="66"/>
      <c r="O53" s="66"/>
      <c r="P53" s="66"/>
      <c r="Q53" s="66"/>
      <c r="R53" s="66"/>
      <c r="S53" s="66"/>
    </row>
    <row r="54" spans="1:19" x14ac:dyDescent="0.25">
      <c r="A54" s="54"/>
      <c r="B54" s="54"/>
      <c r="C54" s="54"/>
      <c r="D54" s="54"/>
      <c r="E54" s="10"/>
      <c r="F54" s="10"/>
      <c r="G54" s="10"/>
      <c r="H54" s="10"/>
      <c r="I54" s="10"/>
      <c r="J54" s="10"/>
      <c r="K54" s="10"/>
      <c r="L54" s="8"/>
      <c r="M54" s="66"/>
      <c r="N54" s="66"/>
      <c r="O54" s="66"/>
      <c r="P54" s="66"/>
      <c r="Q54" s="66"/>
      <c r="R54" s="66"/>
      <c r="S54" s="66"/>
    </row>
    <row r="55" spans="1:19" x14ac:dyDescent="0.25">
      <c r="A55" s="55"/>
      <c r="B55" s="55"/>
      <c r="C55" s="55"/>
      <c r="D55" s="55"/>
      <c r="E55" s="56"/>
      <c r="F55" s="56"/>
      <c r="G55" s="56"/>
      <c r="H55" s="56"/>
      <c r="I55" s="56"/>
      <c r="J55" s="56"/>
      <c r="K55" s="56"/>
      <c r="L55" s="8"/>
      <c r="M55" s="66"/>
      <c r="N55" s="66"/>
      <c r="O55" s="66"/>
      <c r="P55" s="66"/>
      <c r="Q55" s="66"/>
      <c r="R55" s="66"/>
      <c r="S55" s="66"/>
    </row>
    <row r="56" spans="1:19" x14ac:dyDescent="0.25">
      <c r="A56" s="55"/>
      <c r="B56" s="55"/>
      <c r="C56" s="55"/>
      <c r="D56" s="55"/>
      <c r="E56" s="56"/>
      <c r="F56" s="56"/>
      <c r="G56" s="56"/>
      <c r="H56" s="56"/>
      <c r="I56" s="56"/>
      <c r="J56" s="56"/>
      <c r="K56" s="56"/>
      <c r="L56" s="8"/>
      <c r="M56" s="66"/>
      <c r="N56" s="66"/>
      <c r="O56" s="66"/>
      <c r="P56" s="66"/>
      <c r="Q56" s="66"/>
      <c r="R56" s="66"/>
      <c r="S56" s="66"/>
    </row>
    <row r="57" spans="1:19" x14ac:dyDescent="0.25">
      <c r="A57" s="55"/>
      <c r="B57" s="55"/>
      <c r="C57" s="55"/>
      <c r="D57" s="55"/>
      <c r="E57" s="56"/>
      <c r="F57" s="56"/>
      <c r="G57" s="56"/>
      <c r="H57" s="56"/>
      <c r="I57" s="56"/>
      <c r="J57" s="56"/>
      <c r="K57" s="56"/>
      <c r="L57" s="8"/>
      <c r="M57" s="66"/>
      <c r="N57" s="66"/>
      <c r="O57" s="66"/>
      <c r="P57" s="66"/>
      <c r="Q57" s="66"/>
      <c r="R57" s="66"/>
      <c r="S57" s="66"/>
    </row>
    <row r="58" spans="1:19" x14ac:dyDescent="0.25">
      <c r="A58" s="55"/>
      <c r="B58" s="55"/>
      <c r="C58" s="55"/>
      <c r="D58" s="55"/>
      <c r="E58" s="56"/>
      <c r="F58" s="56"/>
      <c r="G58" s="56"/>
      <c r="H58" s="56"/>
      <c r="I58" s="56"/>
      <c r="J58" s="56"/>
      <c r="K58" s="56"/>
      <c r="L58" s="8"/>
      <c r="M58" s="66"/>
      <c r="N58" s="66"/>
      <c r="O58" s="66"/>
      <c r="P58" s="66"/>
      <c r="Q58" s="66"/>
      <c r="R58" s="66"/>
      <c r="S58" s="66"/>
    </row>
    <row r="59" spans="1:19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66"/>
      <c r="N59" s="66"/>
      <c r="O59" s="66"/>
      <c r="P59" s="66"/>
      <c r="Q59" s="66"/>
      <c r="R59" s="66"/>
      <c r="S59" s="66"/>
    </row>
    <row r="60" spans="1:19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66"/>
      <c r="N60" s="66"/>
      <c r="O60" s="66"/>
      <c r="P60" s="66"/>
      <c r="Q60" s="66"/>
      <c r="R60" s="66"/>
      <c r="S60" s="66"/>
    </row>
    <row r="61" spans="1:19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66"/>
      <c r="N61" s="66"/>
      <c r="O61" s="66"/>
      <c r="P61" s="66"/>
      <c r="Q61" s="66"/>
      <c r="R61" s="66"/>
      <c r="S61" s="66"/>
    </row>
  </sheetData>
  <mergeCells count="16">
    <mergeCell ref="B20:F20"/>
    <mergeCell ref="A5:C5"/>
    <mergeCell ref="I5:K5"/>
    <mergeCell ref="I6:K6"/>
    <mergeCell ref="I7:K7"/>
    <mergeCell ref="A14:F14"/>
    <mergeCell ref="E39:K39"/>
    <mergeCell ref="E40:K40"/>
    <mergeCell ref="E43:K43"/>
    <mergeCell ref="E44:K44"/>
    <mergeCell ref="A22:H22"/>
    <mergeCell ref="A26:K26"/>
    <mergeCell ref="A34:K34"/>
    <mergeCell ref="G35:K35"/>
    <mergeCell ref="G36:K36"/>
    <mergeCell ref="A38:K38"/>
  </mergeCells>
  <conditionalFormatting sqref="B16:F19">
    <cfRule type="dataBar" priority="3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{84DE1A19-6FB4-4A49-B6B8-8414C405E129}</x14:id>
        </ext>
      </extLst>
    </cfRule>
    <cfRule type="dataBar" priority="4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{63270585-BDDD-462C-9DAB-A3B44056AF5E}</x14:id>
        </ext>
      </extLst>
    </cfRule>
  </conditionalFormatting>
  <conditionalFormatting sqref="H28:K28 H29:J31">
    <cfRule type="dataBar" priority="5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{2D914F40-61AB-4BCB-8A46-584A0ABF5A2A}</x14:id>
        </ext>
      </extLst>
    </cfRule>
    <cfRule type="dataBar" priority="6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{1CD3BB1A-2797-4613-BCB9-00927816532B}</x14:id>
        </ext>
      </extLst>
    </cfRule>
  </conditionalFormatting>
  <conditionalFormatting sqref="K29">
    <cfRule type="dataBar" priority="1">
      <dataBar>
        <cfvo type="num" val="0"/>
        <cfvo type="num" val="1491680"/>
        <color theme="4" tint="0.59999389629810485"/>
      </dataBar>
      <extLst>
        <ext xmlns:x14="http://schemas.microsoft.com/office/spreadsheetml/2009/9/main" uri="{B025F937-C7B1-47D3-B67F-A62EFF666E3E}">
          <x14:id>{41EE5245-98F2-4B20-9B5D-7B1C3C28CAF3}</x14:id>
        </ext>
      </extLst>
    </cfRule>
    <cfRule type="dataBar" priority="2">
      <dataBar>
        <cfvo type="min"/>
        <cfvo type="max"/>
        <color rgb="FFBDD7EE"/>
      </dataBar>
      <extLst>
        <ext xmlns:x14="http://schemas.microsoft.com/office/spreadsheetml/2009/9/main" uri="{B025F937-C7B1-47D3-B67F-A62EFF666E3E}">
          <x14:id>{1C7F11D3-B8FB-4F85-B426-2F9E99C1812D}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DE1A19-6FB4-4A49-B6B8-8414C405E129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63270585-BDDD-462C-9DAB-A3B44056AF5E}">
            <x14:dataBar minLength="0" maxLength="100" gradient="0" negativeBarColorSameAsPositive="1" axisPosition="none">
              <x14:cfvo type="min"/>
              <x14:cfvo type="max"/>
            </x14:dataBar>
          </x14:cfRule>
          <xm:sqref>B16:F19</xm:sqref>
        </x14:conditionalFormatting>
        <x14:conditionalFormatting xmlns:xm="http://schemas.microsoft.com/office/excel/2006/main">
          <x14:cfRule type="dataBar" id="{2D914F40-61AB-4BCB-8A46-584A0ABF5A2A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1CD3BB1A-2797-4613-BCB9-00927816532B}">
            <x14:dataBar minLength="0" maxLength="100" gradient="0" negativeBarColorSameAsPositive="1" axisPosition="none">
              <x14:cfvo type="min"/>
              <x14:cfvo type="max"/>
            </x14:dataBar>
          </x14:cfRule>
          <xm:sqref>H28:K28 H29:J31</xm:sqref>
        </x14:conditionalFormatting>
        <x14:conditionalFormatting xmlns:xm="http://schemas.microsoft.com/office/excel/2006/main">
          <x14:cfRule type="dataBar" id="{41EE5245-98F2-4B20-9B5D-7B1C3C28CAF3}">
            <x14:dataBar minLength="0" maxLength="100" gradient="0">
              <x14:cfvo type="num">
                <xm:f>0</xm:f>
              </x14:cfvo>
              <x14:cfvo type="num">
                <xm:f>1491680</xm:f>
              </x14:cfvo>
              <x14:negativeFillColor rgb="FFFF0000"/>
              <x14:axisColor rgb="FF000000"/>
            </x14:dataBar>
          </x14:cfRule>
          <x14:cfRule type="dataBar" id="{1C7F11D3-B8FB-4F85-B426-2F9E99C1812D}">
            <x14:dataBar minLength="0" maxLength="100" gradient="0" negativeBarColorSameAsPositive="1" axisPosition="none">
              <x14:cfvo type="min"/>
              <x14:cfvo type="max"/>
            </x14:dataBar>
          </x14:cfRule>
          <xm:sqref>K29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Bluebird</vt:lpstr>
      <vt:lpstr>Cardinal</vt:lpstr>
      <vt:lpstr>Cherry</vt:lpstr>
      <vt:lpstr>Cougar</vt:lpstr>
      <vt:lpstr>Harrison</vt:lpstr>
      <vt:lpstr>Hayes</vt:lpstr>
      <vt:lpstr>Hickory</vt:lpstr>
      <vt:lpstr>Violet</vt:lpstr>
      <vt:lpstr>Wellons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 OPS</dc:creator>
  <cp:lastModifiedBy>OM OPS</cp:lastModifiedBy>
  <dcterms:created xsi:type="dcterms:W3CDTF">2024-09-10T13:57:07Z</dcterms:created>
  <dcterms:modified xsi:type="dcterms:W3CDTF">2024-09-14T11:51:41Z</dcterms:modified>
</cp:coreProperties>
</file>